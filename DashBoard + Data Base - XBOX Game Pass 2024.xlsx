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lize\Documents\Dio\Bootcamp - Ciência de dados com Python\"/>
    </mc:Choice>
  </mc:AlternateContent>
  <xr:revisionPtr revIDLastSave="0" documentId="13_ncr:1_{22D24F22-BB06-4522-B20C-1E38583136AD}" xr6:coauthVersionLast="47" xr6:coauthVersionMax="47" xr10:uidLastSave="{00000000-0000-0000-0000-000000000000}"/>
  <bookViews>
    <workbookView xWindow="-120" yWindow="-120" windowWidth="29040" windowHeight="15720" firstSheet="1" activeTab="1" xr2:uid="{28DD5B76-0634-4F87-BE60-8BFA7EF2E23B}"/>
  </bookViews>
  <sheets>
    <sheet name="A̳ssets" sheetId="1" state="hidden" r:id="rId1"/>
    <sheet name="D̳ashboard" sheetId="4" r:id="rId2"/>
    <sheet name="B̳ases" sheetId="2" r:id="rId3"/>
    <sheet name="C̳álculos" sheetId="3" state="hidden" r:id="rId4"/>
  </sheets>
  <definedNames>
    <definedName name="SegmentaçãodeDados_Subscription_Type">#N/A</definedName>
  </definedNames>
  <calcPr calcId="18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9" i="3" l="1"/>
  <c r="G39" i="3"/>
  <c r="F31" i="3"/>
</calcChain>
</file>

<file path=xl/sharedStrings.xml><?xml version="1.0" encoding="utf-8"?>
<sst xmlns="http://schemas.openxmlformats.org/spreadsheetml/2006/main" count="2045" uniqueCount="338">
  <si>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</si>
  <si>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</si>
  <si>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</si>
  <si>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</si>
  <si>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</si>
  <si>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</si>
  <si>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</si>
  <si>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</si>
  <si>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</si>
  <si>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</si>
  <si>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</si>
  <si>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</si>
  <si>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</si>
  <si>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</si>
  <si>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</si>
  <si>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</si>
  <si>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</si>
  <si>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</si>
  <si>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</si>
  <si>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</si>
  <si>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</si>
  <si>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</si>
  <si>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</si>
  <si>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</si>
  <si>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</si>
  <si>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</si>
  <si>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</si>
  <si>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</si>
  <si>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</si>
  <si>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</si>
  <si>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</si>
  <si>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</si>
  <si>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</si>
  <si>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</si>
  <si>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</si>
  <si>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</si>
  <si>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</si>
  <si>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</si>
  <si>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</si>
  <si>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</si>
  <si>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</si>
  <si>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</si>
  <si>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</si>
  <si>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</si>
  <si>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</si>
  <si>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</si>
  <si>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</si>
  <si>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</si>
  <si>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</si>
  <si>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</si>
  <si>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</si>
  <si>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</si>
  <si>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</si>
  <si>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</si>
  <si>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</si>
  <si>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</si>
  <si>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</si>
  <si>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</si>
  <si>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</si>
  <si>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</si>
  <si>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</si>
  <si>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</si>
  <si>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</si>
  <si>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</si>
  <si>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</si>
  <si>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</si>
  <si>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</si>
  <si>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</si>
  <si>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</si>
  <si>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</si>
  <si>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</si>
  <si>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</si>
  <si>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</si>
  <si>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</si>
  <si>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</si>
  <si>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</si>
  <si>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</si>
  <si>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</si>
  <si>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</si>
  <si>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</si>
  <si>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</si>
  <si>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</si>
  <si>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</si>
  <si>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</si>
  <si>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</si>
  <si>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</si>
  <si>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</si>
  <si>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</si>
  <si>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</si>
  <si>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</si>
  <si>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</si>
  <si>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</si>
  <si>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</si>
  <si>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</si>
  <si>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</si>
  <si>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</si>
  <si>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</si>
  <si>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</si>
  <si>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</si>
  <si>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</si>
  <si>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</si>
  <si>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</si>
  <si>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</si>
  <si>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</si>
  <si>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</si>
  <si>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</si>
  <si>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</si>
  <si>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</si>
  <si>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</si>
  <si>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</si>
  <si>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</si>
  <si>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</si>
  <si>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</si>
  <si>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</si>
  <si>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</si>
  <si>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</si>
  <si>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</si>
  <si>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</si>
  <si>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</si>
  <si>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</si>
  <si>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</si>
  <si>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</si>
  <si>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</si>
  <si>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</si>
  <si>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</si>
  <si>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</si>
  <si>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</si>
  <si>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</si>
  <si>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</si>
  <si>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</si>
  <si>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</si>
  <si>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</si>
  <si>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</si>
  <si>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</si>
  <si>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</si>
  <si>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</si>
  <si>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</si>
  <si>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</si>
  <si>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</si>
  <si>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</si>
  <si>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</si>
  <si>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</si>
  <si>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</si>
  <si>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</si>
  <si>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</si>
  <si>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</si>
  <si>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</si>
  <si>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</si>
  <si>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</si>
  <si>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</si>
  <si>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</si>
  <si>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</si>
  <si>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</si>
  <si>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</si>
  <si>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</si>
  <si>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</si>
  <si>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</si>
  <si>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</si>
  <si>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</si>
  <si>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</si>
  <si>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</si>
  <si>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</si>
  <si>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</si>
  <si>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</si>
  <si>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</si>
  <si>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</si>
  <si>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</si>
  <si>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</si>
  <si>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</si>
  <si>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</si>
  <si>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</si>
  <si>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</si>
  <si>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</si>
  <si>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</si>
  <si>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</si>
  <si>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</si>
  <si>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</si>
  <si>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</si>
  <si>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</si>
  <si>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</si>
  <si>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</si>
  <si>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</si>
  <si>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</si>
  <si>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</si>
  <si>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</si>
  <si>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</si>
  <si>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</si>
  <si>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</si>
  <si>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</si>
  <si>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</si>
  <si>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</si>
  <si>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</si>
  <si>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</si>
  <si>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</si>
  <si>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</si>
  <si>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</si>
  <si>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</si>
  <si>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</si>
  <si>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</si>
  <si>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</si>
  <si>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</si>
  <si>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</si>
  <si>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</si>
  <si>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</si>
  <si>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</si>
  <si>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</si>
  <si>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</si>
  <si>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</si>
  <si>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</si>
  <si>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</si>
  <si>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</si>
  <si>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</si>
  <si>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</si>
  <si>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</si>
  <si>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</si>
  <si>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</si>
  <si>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</si>
  <si>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</si>
  <si>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</si>
  <si>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</si>
  <si>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</si>
  <si>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</si>
  <si>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</si>
  <si>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</si>
  <si>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</si>
  <si>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</si>
  <si>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</si>
  <si>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</si>
  <si>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</si>
  <si>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</si>
  <si>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</si>
  <si>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</si>
  <si>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</si>
  <si>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</si>
  <si>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</si>
  <si>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</si>
  <si>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</si>
  <si>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</si>
  <si>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</si>
  <si>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</si>
  <si>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</si>
  <si>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</si>
  <si>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</si>
  <si>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</si>
  <si>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</si>
  <si>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</si>
  <si>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</si>
  <si>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</si>
  <si>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</si>
  <si>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</si>
  <si>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</si>
  <si>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</si>
  <si>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</si>
  <si>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</si>
  <si>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</si>
  <si>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</si>
  <si>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</si>
  <si>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</si>
  <si>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</si>
  <si>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</si>
  <si>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</si>
  <si>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</si>
  <si>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</si>
  <si>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</si>
  <si>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</si>
  <si>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</si>
  <si>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</si>
  <si>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</si>
  <si>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</si>
  <si>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</si>
  <si>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</si>
  <si>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</si>
  <si>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</si>
  <si>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</si>
  <si>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</si>
  <si>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</si>
  <si>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</si>
  <si>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</si>
  <si>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</si>
  <si>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</si>
  <si>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</si>
  <si>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</si>
  <si>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</si>
  <si>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</si>
  <si>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</si>
  <si>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</si>
  <si>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</si>
  <si>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</si>
  <si>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</si>
  <si>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</si>
  <si>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</si>
  <si>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</si>
  <si>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</si>
  <si>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</si>
  <si>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</si>
  <si>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</si>
  <si>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</si>
  <si>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</si>
  <si>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</si>
  <si>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</si>
  <si>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</si>
  <si>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</si>
  <si>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</si>
  <si>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</si>
  <si>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</si>
  <si>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</si>
  <si>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</si>
  <si>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</si>
  <si>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</si>
  <si>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</si>
  <si>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</si>
  <si>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</si>
  <si>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</si>
  <si>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</si>
  <si>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</si>
  <si>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</si>
  <si>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 xml:space="preserve"> Qual total de vendas de planos anuais (contendo todas as assinaturas agregadas)</t>
  </si>
  <si>
    <t xml:space="preserve"> Qual total de vendas de planos anuais, separado por auto renovação e não auto renovação</t>
  </si>
  <si>
    <t>XBOX GAME PASS SUBSCRIPTIONS SALES</t>
  </si>
  <si>
    <t>Soma de EA Play Season Pass</t>
  </si>
  <si>
    <t>Soma de Minecraft Season Pass Price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</si>
  <si>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</si>
  <si>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</si>
  <si>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</si>
  <si>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</si>
  <si>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</si>
  <si>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</si>
  <si>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</si>
  <si>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</si>
  <si>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</si>
  <si>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</si>
  <si>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</si>
  <si>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</si>
  <si>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Soma de Coupon Value</t>
  </si>
  <si>
    <t>Bem-Vindo, Kaio!</t>
  </si>
  <si>
    <t>Sum of Total Value</t>
  </si>
  <si>
    <t>Sum of Coupon Value</t>
  </si>
  <si>
    <t>DATA DE APURAÇÃO: 01/01/2024 - 31/12/2024 | UPDATE: 12/01/26 22:00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</si>
</sst>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28"/>
      <color theme="3"/>
      <name val="Aptos Narrow"/>
      <family val="2"/>
      <scheme val="minor"/>
    </font>
    <font>
      <b/>
      <sz val="26"/>
      <color theme="3"/>
      <name val="Aptos Narrow"/>
      <family val="2"/>
      <scheme val="minor"/>
    </font>
    <font>
      <sz val="12"/>
      <color theme="2" tint="-0.499984740745262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3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0" borderId="2" applyNumberFormat="0" applyFill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8" borderId="0" xfId="0" applyFill="1"/>
    <xf numFmtId="0" fontId="0" fillId="9" borderId="0" xfId="0" applyFill="1"/>
    <xf numFmtId="0" fontId="4" fillId="0" borderId="2" xfId="3"/>
    <xf numFmtId="0" fontId="4" fillId="8" borderId="2" xfId="3" applyFill="1"/>
    <xf numFmtId="44" fontId="0" fillId="0" borderId="0" xfId="2" applyFont="1"/>
    <xf numFmtId="2" fontId="0" fillId="0" borderId="0" xfId="2" applyNumberFormat="1" applyFont="1" applyAlignment="1">
      <alignment horizontal="center" vertical="top"/>
    </xf>
    <xf numFmtId="0" fontId="6" fillId="0" borderId="2" xfId="3" applyFont="1" applyAlignment="1">
      <alignment horizontal="left" vertical="center"/>
    </xf>
    <xf numFmtId="0" fontId="5" fillId="0" borderId="2" xfId="3" applyFont="1" applyAlignment="1"/>
    <xf numFmtId="0" fontId="7" fillId="9" borderId="0" xfId="0" applyFont="1" applyFill="1"/>
  </cellXfs>
  <cellStyles count="4">
    <cellStyle name="Moeda" xfId="2" builtinId="4"/>
    <cellStyle name="Normal" xfId="0" builtinId="0"/>
    <cellStyle name="Título 1" xfId="1" builtinId="16"/>
    <cellStyle name="Título 2" xfId="3" builtinId="17" customBuiltin="1"/>
  </cellStyles>
  <dxfs count="18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color theme="0"/>
      </font>
      <border>
        <bottom style="thin">
          <color theme="4"/>
        </bottom>
        <vertical/>
        <horizontal/>
      </border>
    </dxf>
    <dxf>
      <font>
        <b val="0"/>
        <i/>
        <sz val="18"/>
        <color theme="1"/>
      </font>
      <fill>
        <patternFill>
          <bgColor theme="3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>
          <bgColor theme="3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Estilo de Segmentação de Dados 1" pivot="0" table="0" count="2" xr9:uid="{EDCD1D2A-7CED-4DE5-A351-5E0CB4421B10}">
      <tableStyleElement type="wholeTable" dxfId="17"/>
      <tableStyleElement type="headerRow" dxfId="16"/>
    </tableStyle>
    <tableStyle name="SlicerStyleLight1 2" pivot="0" table="0" count="10" xr9:uid="{D37FA211-8F75-499E-A4A2-E8083266FC0B}">
      <tableStyleElement type="wholeTable" dxfId="15"/>
      <tableStyleElement type="headerRow" dxfId="14"/>
    </tableStyle>
  </tableStyles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jpeg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XBOX Game Pass 2024.xlsx]C̳álculos!Tabela dinâmica1</c:name>
    <c:fmtId val="12"/>
  </c:pivotSource>
  <c:chart>
    <c:autoTitleDeleted val="1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-0.11388663795666318"/>
              <c:y val="-1.3888888888888973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-0.16273322630787657"/>
              <c:y val="-4.6296296296296294E-3"/>
            </c:manualLayout>
          </c:layout>
          <c:tx>
            <c:rich>
              <a:bodyPr/>
              <a:lstStyle/>
              <a:p>
                <a:fld id="{399D3276-B11D-43FD-861B-F40F5C4D0EB5}" type="VALUE">
                  <a:rPr lang="en-US" b="1"/>
                  <a:pPr/>
                  <a:t>[VALOR]</a:t>
                </a:fld>
                <a:endParaRPr lang="pt-BR"/>
              </a:p>
            </c:rich>
          </c:tx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-0.11388663795666318"/>
              <c:y val="-1.3888888888888973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-0.16273322630787657"/>
              <c:y val="-4.6296296296296294E-3"/>
            </c:manualLayout>
          </c:layout>
          <c:tx>
            <c:rich>
              <a:bodyPr/>
              <a:lstStyle/>
              <a:p>
                <a:fld id="{399D3276-B11D-43FD-861B-F40F5C4D0EB5}" type="VALUE">
                  <a:rPr lang="en-US" b="1"/>
                  <a:pPr/>
                  <a:t>[VALOR]</a:t>
                </a:fld>
                <a:endParaRPr lang="pt-BR"/>
              </a:p>
            </c:rich>
          </c:tx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0.10380595994835305"/>
              <c:y val="-7.058251050512528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0.16273302295840669"/>
              <c:y val="-4.6296296296296294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399D3276-B11D-43FD-861B-F40F5C4D0EB5}" type="VALUE">
                  <a:rPr lang="en-US" sz="1600" b="1">
                    <a:solidFill>
                      <a:schemeClr val="bg1"/>
                    </a:solidFill>
                  </a:rPr>
                  <a:pPr>
                    <a:defRPr>
                      <a:solidFill>
                        <a:schemeClr val="bg1"/>
                      </a:solidFill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C̳álculos!$E$19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3AB9-4D6F-99DF-BB453BF16B83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3AB9-4D6F-99DF-BB453BF16B83}"/>
              </c:ext>
            </c:extLst>
          </c:dPt>
          <c:dLbls>
            <c:dLbl>
              <c:idx val="0"/>
              <c:layout>
                <c:manualLayout>
                  <c:x val="-0.10380595994835305"/>
                  <c:y val="-7.0582510505125288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AB9-4D6F-99DF-BB453BF16B83}"/>
                </c:ext>
              </c:extLst>
            </c:dLbl>
            <c:dLbl>
              <c:idx val="1"/>
              <c:layout>
                <c:manualLayout>
                  <c:x val="-0.16273302295840669"/>
                  <c:y val="-4.6296296296296294E-3"/>
                </c:manualLayout>
              </c:layout>
              <c:tx>
                <c:rich>
                  <a:bodyPr/>
                  <a:lstStyle/>
                  <a:p>
                    <a:fld id="{399D3276-B11D-43FD-861B-F40F5C4D0EB5}" type="VALUE">
                      <a:rPr lang="en-US" sz="1600" b="1">
                        <a:solidFill>
                          <a:schemeClr val="bg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3AB9-4D6F-99DF-BB453BF16B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C̳álculos!$D$20:$D$22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C̳álculos!$E$20:$E$22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B9-4D6F-99DF-BB453BF16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25656632"/>
        <c:axId val="625654112"/>
        <c:axId val="0"/>
      </c:bar3DChart>
      <c:catAx>
        <c:axId val="625656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5654112"/>
        <c:crosses val="autoZero"/>
        <c:auto val="1"/>
        <c:lblAlgn val="ctr"/>
        <c:lblOffset val="100"/>
        <c:noMultiLvlLbl val="0"/>
      </c:catAx>
      <c:valAx>
        <c:axId val="62565411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25656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XBOX Game Pass 2024.xlsx]C̳álculos!Tabela dinâmica4</c:name>
    <c:fmtId val="7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7210884664881545E-2"/>
          <c:y val="3.7768243746926992E-2"/>
          <c:w val="0.97633503358578788"/>
          <c:h val="0.840313932417643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C̳álculos!$E$45</c:f>
              <c:strCache>
                <c:ptCount val="1"/>
                <c:pt idx="0">
                  <c:v>Sum of Total Value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C̳álculos!$D$46:$D$58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C̳álculos!$E$46:$E$58</c:f>
              <c:numCache>
                <c:formatCode>_("R$"* #,##0.00_);_("R$"* \(#,##0.00\);_("R$"* "-"??_);_(@_)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7D-4A35-A37F-88B75BC45DEA}"/>
            </c:ext>
          </c:extLst>
        </c:ser>
        <c:ser>
          <c:idx val="1"/>
          <c:order val="1"/>
          <c:tx>
            <c:strRef>
              <c:f>C̳álculos!$F$45</c:f>
              <c:strCache>
                <c:ptCount val="1"/>
                <c:pt idx="0">
                  <c:v>Sum of Coupon Value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C̳álculos!$D$46:$D$58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C̳álculos!$F$46:$F$58</c:f>
              <c:numCache>
                <c:formatCode>_("R$"* #,##0.00_);_("R$"* \(#,##0.00\);_("R$"* "-"??_);_(@_)</c:formatCode>
                <c:ptCount val="12"/>
                <c:pt idx="0">
                  <c:v>5</c:v>
                </c:pt>
                <c:pt idx="1">
                  <c:v>13</c:v>
                </c:pt>
                <c:pt idx="2">
                  <c:v>204</c:v>
                </c:pt>
                <c:pt idx="3">
                  <c:v>218</c:v>
                </c:pt>
                <c:pt idx="4">
                  <c:v>228</c:v>
                </c:pt>
                <c:pt idx="5">
                  <c:v>230</c:v>
                </c:pt>
                <c:pt idx="6">
                  <c:v>221</c:v>
                </c:pt>
                <c:pt idx="7">
                  <c:v>218</c:v>
                </c:pt>
                <c:pt idx="8">
                  <c:v>220</c:v>
                </c:pt>
                <c:pt idx="9">
                  <c:v>233</c:v>
                </c:pt>
                <c:pt idx="10">
                  <c:v>216</c:v>
                </c:pt>
                <c:pt idx="11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7D-4A35-A37F-88B75BC45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17268000"/>
        <c:axId val="1817270520"/>
      </c:barChart>
      <c:catAx>
        <c:axId val="181726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7270520"/>
        <c:crosses val="autoZero"/>
        <c:auto val="1"/>
        <c:lblAlgn val="ctr"/>
        <c:lblOffset val="100"/>
        <c:noMultiLvlLbl val="0"/>
      </c:catAx>
      <c:valAx>
        <c:axId val="1817270520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726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641032951221202"/>
          <c:y val="0"/>
          <c:w val="0.32830965227406439"/>
          <c:h val="7.2134371679170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XBOX Game Pass 2024.xlsx]C̳álculos!Tabela dinâmica1</c:name>
    <c:fmtId val="8"/>
  </c:pivotSource>
  <c:chart>
    <c:autoTitleDeleted val="1"/>
    <c:pivotFmts>
      <c:pivotFmt>
        <c:idx val="0"/>
        <c:spPr>
          <a:blipFill>
            <a:blip xmlns:r="http://schemas.openxmlformats.org/officeDocument/2006/relationships" r:embed="rId3"/>
            <a:tile tx="0" ty="0" sx="100000" sy="100000" flip="none" algn="tl"/>
          </a:blip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-0.11388663795666318"/>
              <c:y val="-1.38888888888889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-0.16273322630787657"/>
              <c:y val="-4.6296296296296294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399D3276-B11D-43FD-861B-F40F5C4D0EB5}" type="VALUE">
                  <a:rPr lang="en-US" b="1"/>
                  <a:pPr>
                    <a:defRPr b="1">
                      <a:solidFill>
                        <a:schemeClr val="bg1"/>
                      </a:solidFill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C̳álculos!$E$19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tile tx="0" ty="0" sx="100000" sy="100000" flip="none" algn="tl"/>
            </a:blip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E113-412A-8F05-27BCC14E9F8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E113-412A-8F05-27BCC14E9F86}"/>
              </c:ext>
            </c:extLst>
          </c:dPt>
          <c:dLbls>
            <c:dLbl>
              <c:idx val="0"/>
              <c:layout>
                <c:manualLayout>
                  <c:x val="-0.11388663795666318"/>
                  <c:y val="-1.38888888888889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113-412A-8F05-27BCC14E9F86}"/>
                </c:ext>
              </c:extLst>
            </c:dLbl>
            <c:dLbl>
              <c:idx val="1"/>
              <c:layout>
                <c:manualLayout>
                  <c:x val="-0.16273322630787657"/>
                  <c:y val="-4.6296296296296294E-3"/>
                </c:manualLayout>
              </c:layout>
              <c:tx>
                <c:rich>
                  <a:bodyPr/>
                  <a:lstStyle/>
                  <a:p>
                    <a:fld id="{399D3276-B11D-43FD-861B-F40F5C4D0EB5}" type="VALUE">
                      <a:rPr lang="en-US" b="1"/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E113-412A-8F05-27BCC14E9F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C̳álculos!$D$20:$D$22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C̳álculos!$E$20:$E$22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13-412A-8F05-27BCC14E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25656632"/>
        <c:axId val="625654112"/>
        <c:axId val="0"/>
      </c:bar3DChart>
      <c:catAx>
        <c:axId val="625656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5654112"/>
        <c:crosses val="autoZero"/>
        <c:auto val="1"/>
        <c:lblAlgn val="ctr"/>
        <c:lblOffset val="100"/>
        <c:noMultiLvlLbl val="0"/>
      </c:catAx>
      <c:valAx>
        <c:axId val="62565411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25656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XBOX Game Pass 2024.xlsx]C̳álculos!Tabela dinâmica4</c:name>
    <c:fmtId val="2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206034617255166E-2"/>
          <c:y val="2.8326182810195246E-2"/>
          <c:w val="0.97633503358578788"/>
          <c:h val="0.840313932417643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C̳álculos!$E$45</c:f>
              <c:strCache>
                <c:ptCount val="1"/>
                <c:pt idx="0">
                  <c:v>Sum of Total Value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C̳álculos!$D$46:$D$58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C̳álculos!$E$46:$E$58</c:f>
              <c:numCache>
                <c:formatCode>_("R$"* #,##0.00_);_("R$"* \(#,##0.00\);_("R$"* "-"??_);_(@_)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23-4149-B420-17D49D628222}"/>
            </c:ext>
          </c:extLst>
        </c:ser>
        <c:ser>
          <c:idx val="1"/>
          <c:order val="1"/>
          <c:tx>
            <c:strRef>
              <c:f>C̳álculos!$F$45</c:f>
              <c:strCache>
                <c:ptCount val="1"/>
                <c:pt idx="0">
                  <c:v>Sum of Coupon Value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C̳álculos!$D$46:$D$58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C̳álculos!$F$46:$F$58</c:f>
              <c:numCache>
                <c:formatCode>_("R$"* #,##0.00_);_("R$"* \(#,##0.00\);_("R$"* "-"??_);_(@_)</c:formatCode>
                <c:ptCount val="12"/>
                <c:pt idx="0">
                  <c:v>5</c:v>
                </c:pt>
                <c:pt idx="1">
                  <c:v>13</c:v>
                </c:pt>
                <c:pt idx="2">
                  <c:v>204</c:v>
                </c:pt>
                <c:pt idx="3">
                  <c:v>218</c:v>
                </c:pt>
                <c:pt idx="4">
                  <c:v>228</c:v>
                </c:pt>
                <c:pt idx="5">
                  <c:v>230</c:v>
                </c:pt>
                <c:pt idx="6">
                  <c:v>221</c:v>
                </c:pt>
                <c:pt idx="7">
                  <c:v>218</c:v>
                </c:pt>
                <c:pt idx="8">
                  <c:v>220</c:v>
                </c:pt>
                <c:pt idx="9">
                  <c:v>233</c:v>
                </c:pt>
                <c:pt idx="10">
                  <c:v>216</c:v>
                </c:pt>
                <c:pt idx="11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23-4149-B420-17D49D628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17268000"/>
        <c:axId val="1817270520"/>
      </c:barChart>
      <c:catAx>
        <c:axId val="181726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7270520"/>
        <c:crosses val="autoZero"/>
        <c:auto val="1"/>
        <c:lblAlgn val="ctr"/>
        <c:lblOffset val="100"/>
        <c:noMultiLvlLbl val="0"/>
      </c:catAx>
      <c:valAx>
        <c:axId val="1817270520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726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641032951221202"/>
          <c:y val="0"/>
          <c:w val="0.32830965227406439"/>
          <c:h val="7.2134371679170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jpeg"/><Relationship Id="rId3" Type="http://schemas.openxmlformats.org/officeDocument/2006/relationships/image" Target="../media/image7.png"/><Relationship Id="rId7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85725</xdr:colOff>
      <xdr:row>30</xdr:row>
      <xdr:rowOff>104775</xdr:rowOff>
    </xdr:from>
    <xdr:to>
      <xdr:col>13</xdr:col>
      <xdr:colOff>216552</xdr:colOff>
      <xdr:row>44</xdr:row>
      <xdr:rowOff>85725</xdr:rowOff>
    </xdr:to>
    <xdr:pic>
      <xdr:nvPicPr>
        <xdr:cNvPr id="2" name="Imagem 1" descr="Desconto png Imagens – Download Grátis no Freepik">
          <a:extLst>
            <a:ext uri="{FF2B5EF4-FFF2-40B4-BE49-F238E27FC236}">
              <a16:creationId xmlns:a16="http://schemas.microsoft.com/office/drawing/2014/main" id="{74474171-959E-88AF-3F3C-DC86C8A3E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5972175"/>
          <a:ext cx="2569227" cy="264795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4</xdr:row>
      <xdr:rowOff>138546</xdr:rowOff>
    </xdr:from>
    <xdr:to>
      <xdr:col>0</xdr:col>
      <xdr:colOff>3594030</xdr:colOff>
      <xdr:row>4</xdr:row>
      <xdr:rowOff>1385455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DF717B9-843E-4119-88FA-74F21DBEF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7091"/>
          <a:ext cx="3594030" cy="12469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34637</xdr:rowOff>
    </xdr:from>
    <xdr:to>
      <xdr:col>0</xdr:col>
      <xdr:colOff>3602182</xdr:colOff>
      <xdr:row>32</xdr:row>
      <xdr:rowOff>173181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ubscription Type 1">
              <a:extLst>
                <a:ext uri="{FF2B5EF4-FFF2-40B4-BE49-F238E27FC236}">
                  <a16:creationId xmlns:a16="http://schemas.microsoft.com/office/drawing/2014/main" id="{A6D7D207-755E-458E-B17C-A68561F889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030682"/>
              <a:ext cx="3602182" cy="43295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547146</xdr:colOff>
      <xdr:row>31</xdr:row>
      <xdr:rowOff>89101</xdr:rowOff>
    </xdr:from>
    <xdr:to>
      <xdr:col>22</xdr:col>
      <xdr:colOff>519547</xdr:colOff>
      <xdr:row>58</xdr:row>
      <xdr:rowOff>138549</xdr:rowOff>
    </xdr:to>
    <xdr:grpSp>
      <xdr:nvGrpSpPr>
        <xdr:cNvPr id="41" name="Agrupar 40">
          <a:extLst>
            <a:ext uri="{FF2B5EF4-FFF2-40B4-BE49-F238E27FC236}">
              <a16:creationId xmlns:a16="http://schemas.microsoft.com/office/drawing/2014/main" id="{0994C966-A27B-6A28-FBC9-6D64FBAD1DD2}"/>
            </a:ext>
          </a:extLst>
        </xdr:cNvPr>
        <xdr:cNvGrpSpPr/>
      </xdr:nvGrpSpPr>
      <xdr:grpSpPr>
        <a:xfrm>
          <a:off x="4443737" y="7085646"/>
          <a:ext cx="11921946" cy="5192948"/>
          <a:chOff x="4443737" y="7075120"/>
          <a:chExt cx="12858488" cy="4346035"/>
        </a:xfrm>
      </xdr:grpSpPr>
      <xdr:sp macro="" textlink="">
        <xdr:nvSpPr>
          <xdr:cNvPr id="34" name="Retângulo: Cantos Arredondados 33">
            <a:extLst>
              <a:ext uri="{FF2B5EF4-FFF2-40B4-BE49-F238E27FC236}">
                <a16:creationId xmlns:a16="http://schemas.microsoft.com/office/drawing/2014/main" id="{81EDDF53-8866-41E3-906B-AE8BA1AFAE12}"/>
              </a:ext>
            </a:extLst>
          </xdr:cNvPr>
          <xdr:cNvSpPr/>
        </xdr:nvSpPr>
        <xdr:spPr>
          <a:xfrm>
            <a:off x="4488683" y="7160882"/>
            <a:ext cx="12813542" cy="4260273"/>
          </a:xfrm>
          <a:prstGeom prst="roundRect">
            <a:avLst>
              <a:gd name="adj" fmla="val 8869"/>
            </a:avLst>
          </a:prstGeom>
          <a:solidFill>
            <a:schemeClr val="tx1">
              <a:lumMod val="50000"/>
              <a:lumOff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28" name="Agrupar 27">
            <a:extLst>
              <a:ext uri="{FF2B5EF4-FFF2-40B4-BE49-F238E27FC236}">
                <a16:creationId xmlns:a16="http://schemas.microsoft.com/office/drawing/2014/main" id="{1B371678-DB7B-8E2B-85D0-6B3084E68D57}"/>
              </a:ext>
            </a:extLst>
          </xdr:cNvPr>
          <xdr:cNvGrpSpPr/>
        </xdr:nvGrpSpPr>
        <xdr:grpSpPr>
          <a:xfrm>
            <a:off x="4443737" y="7075120"/>
            <a:ext cx="12770536" cy="4276949"/>
            <a:chOff x="4443737" y="7075120"/>
            <a:chExt cx="7609718" cy="4276949"/>
          </a:xfrm>
        </xdr:grpSpPr>
        <xdr:grpSp>
          <xdr:nvGrpSpPr>
            <xdr:cNvPr id="8" name="Agrupar 7">
              <a:extLst>
                <a:ext uri="{FF2B5EF4-FFF2-40B4-BE49-F238E27FC236}">
                  <a16:creationId xmlns:a16="http://schemas.microsoft.com/office/drawing/2014/main" id="{FACFE806-9868-A424-F835-B198E6A5A6D7}"/>
                </a:ext>
              </a:extLst>
            </xdr:cNvPr>
            <xdr:cNvGrpSpPr/>
          </xdr:nvGrpSpPr>
          <xdr:grpSpPr>
            <a:xfrm>
              <a:off x="4444588" y="7283533"/>
              <a:ext cx="7608867" cy="4068536"/>
              <a:chOff x="3973286" y="5973536"/>
              <a:chExt cx="10940143" cy="4068536"/>
            </a:xfrm>
          </xdr:grpSpPr>
          <xdr:sp macro="" textlink="">
            <xdr:nvSpPr>
              <xdr:cNvPr id="7" name="Retângulo: Cantos Arredondados 6">
                <a:extLst>
                  <a:ext uri="{FF2B5EF4-FFF2-40B4-BE49-F238E27FC236}">
                    <a16:creationId xmlns:a16="http://schemas.microsoft.com/office/drawing/2014/main" id="{6F2E5C3D-6F52-6F1D-2F4A-FD952BE04784}"/>
                  </a:ext>
                </a:extLst>
              </xdr:cNvPr>
              <xdr:cNvSpPr/>
            </xdr:nvSpPr>
            <xdr:spPr>
              <a:xfrm>
                <a:off x="3973286" y="5973536"/>
                <a:ext cx="10940143" cy="4068536"/>
              </a:xfrm>
              <a:prstGeom prst="roundRect">
                <a:avLst>
                  <a:gd name="adj" fmla="val 7455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none" rtlCol="0" anchor="t"/>
              <a:lstStyle/>
              <a:p>
                <a:pPr algn="l"/>
                <a:endParaRPr lang="pt-BR" sz="1100"/>
              </a:p>
            </xdr:txBody>
          </xdr:sp>
          <xdr:graphicFrame macro="">
            <xdr:nvGraphicFramePr>
              <xdr:cNvPr id="6" name="Gráfico 5">
                <a:extLst>
                  <a:ext uri="{FF2B5EF4-FFF2-40B4-BE49-F238E27FC236}">
                    <a16:creationId xmlns:a16="http://schemas.microsoft.com/office/drawing/2014/main" id="{35E61CA6-691C-4066-89FF-C267E8743C71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4177392" y="6102186"/>
              <a:ext cx="10613572" cy="381000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"/>
              </a:graphicData>
            </a:graphic>
          </xdr:graphicFrame>
        </xdr:grpSp>
        <xdr:sp macro="" textlink="">
          <xdr:nvSpPr>
            <xdr:cNvPr id="9" name="Retângulo: Cantos Superiores Arredondados 8">
              <a:extLst>
                <a:ext uri="{FF2B5EF4-FFF2-40B4-BE49-F238E27FC236}">
                  <a16:creationId xmlns:a16="http://schemas.microsoft.com/office/drawing/2014/main" id="{2400D084-1A65-45CF-8209-DDE50A255D06}"/>
                </a:ext>
              </a:extLst>
            </xdr:cNvPr>
            <xdr:cNvSpPr/>
          </xdr:nvSpPr>
          <xdr:spPr>
            <a:xfrm>
              <a:off x="4443737" y="7075120"/>
              <a:ext cx="7609718" cy="438509"/>
            </a:xfrm>
            <a:prstGeom prst="round2SameRect">
              <a:avLst>
                <a:gd name="adj1" fmla="val 44474"/>
                <a:gd name="adj2" fmla="val 0"/>
              </a:avLst>
            </a:prstGeom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pt-BR" sz="1600" b="1" cap="all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total subscriptions with auto-renewal</a:t>
              </a:r>
              <a:endParaRPr lang="pt-BR" sz="1100" cap="all" baseline="0"/>
            </a:p>
          </xdr:txBody>
        </xdr:sp>
      </xdr:grpSp>
    </xdr:grpSp>
    <xdr:clientData/>
  </xdr:twoCellAnchor>
  <xdr:twoCellAnchor>
    <xdr:from>
      <xdr:col>2</xdr:col>
      <xdr:colOff>537881</xdr:colOff>
      <xdr:row>9</xdr:row>
      <xdr:rowOff>138547</xdr:rowOff>
    </xdr:from>
    <xdr:to>
      <xdr:col>15</xdr:col>
      <xdr:colOff>519545</xdr:colOff>
      <xdr:row>26</xdr:row>
      <xdr:rowOff>17318</xdr:rowOff>
    </xdr:to>
    <xdr:grpSp>
      <xdr:nvGrpSpPr>
        <xdr:cNvPr id="43" name="Agrupar 42">
          <a:extLst>
            <a:ext uri="{FF2B5EF4-FFF2-40B4-BE49-F238E27FC236}">
              <a16:creationId xmlns:a16="http://schemas.microsoft.com/office/drawing/2014/main" id="{045E8054-49C0-EC46-C03A-4199512EE019}"/>
            </a:ext>
          </a:extLst>
        </xdr:cNvPr>
        <xdr:cNvGrpSpPr/>
      </xdr:nvGrpSpPr>
      <xdr:grpSpPr>
        <a:xfrm>
          <a:off x="4434472" y="2944092"/>
          <a:ext cx="7688255" cy="3117271"/>
          <a:chOff x="4434472" y="2944092"/>
          <a:chExt cx="6960893" cy="3117271"/>
        </a:xfrm>
      </xdr:grpSpPr>
      <xdr:grpSp>
        <xdr:nvGrpSpPr>
          <xdr:cNvPr id="39" name="Agrupar 38">
            <a:extLst>
              <a:ext uri="{FF2B5EF4-FFF2-40B4-BE49-F238E27FC236}">
                <a16:creationId xmlns:a16="http://schemas.microsoft.com/office/drawing/2014/main" id="{111023A6-4C5E-6BCE-B406-2B20D7AC3661}"/>
              </a:ext>
            </a:extLst>
          </xdr:cNvPr>
          <xdr:cNvGrpSpPr/>
        </xdr:nvGrpSpPr>
        <xdr:grpSpPr>
          <a:xfrm>
            <a:off x="4434472" y="2944092"/>
            <a:ext cx="6960893" cy="3117271"/>
            <a:chOff x="4434472" y="2944092"/>
            <a:chExt cx="6960893" cy="3117271"/>
          </a:xfrm>
        </xdr:grpSpPr>
        <xdr:sp macro="" textlink="">
          <xdr:nvSpPr>
            <xdr:cNvPr id="32" name="Retângulo: Cantos Arredondados 31">
              <a:extLst>
                <a:ext uri="{FF2B5EF4-FFF2-40B4-BE49-F238E27FC236}">
                  <a16:creationId xmlns:a16="http://schemas.microsoft.com/office/drawing/2014/main" id="{B7074978-0673-8657-96E3-5C4B586E77B1}"/>
                </a:ext>
              </a:extLst>
            </xdr:cNvPr>
            <xdr:cNvSpPr/>
          </xdr:nvSpPr>
          <xdr:spPr>
            <a:xfrm>
              <a:off x="4502727" y="3065317"/>
              <a:ext cx="6892638" cy="2996046"/>
            </a:xfrm>
            <a:prstGeom prst="roundRect">
              <a:avLst>
                <a:gd name="adj" fmla="val 10309"/>
              </a:avLst>
            </a:prstGeom>
            <a:solidFill>
              <a:schemeClr val="tx1">
                <a:lumMod val="50000"/>
                <a:lumOff val="5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pSp>
          <xdr:nvGrpSpPr>
            <xdr:cNvPr id="19" name="Agrupar 18">
              <a:extLst>
                <a:ext uri="{FF2B5EF4-FFF2-40B4-BE49-F238E27FC236}">
                  <a16:creationId xmlns:a16="http://schemas.microsoft.com/office/drawing/2014/main" id="{E69947C1-6F7F-FD50-FA2F-4CFA6A121F01}"/>
                </a:ext>
              </a:extLst>
            </xdr:cNvPr>
            <xdr:cNvGrpSpPr/>
          </xdr:nvGrpSpPr>
          <xdr:grpSpPr>
            <a:xfrm>
              <a:off x="4434472" y="2944092"/>
              <a:ext cx="6891619" cy="3051710"/>
              <a:chOff x="3963390" y="2407228"/>
              <a:chExt cx="10828739" cy="3051710"/>
            </a:xfrm>
          </xdr:grpSpPr>
          <xdr:sp macro="" textlink="">
            <xdr:nvSpPr>
              <xdr:cNvPr id="12" name="Retângulo: Cantos Arredondados 11">
                <a:extLst>
                  <a:ext uri="{FF2B5EF4-FFF2-40B4-BE49-F238E27FC236}">
                    <a16:creationId xmlns:a16="http://schemas.microsoft.com/office/drawing/2014/main" id="{DA949BC6-0934-E768-3BC5-BA618568084D}"/>
                  </a:ext>
                </a:extLst>
              </xdr:cNvPr>
              <xdr:cNvSpPr/>
            </xdr:nvSpPr>
            <xdr:spPr>
              <a:xfrm>
                <a:off x="3963390" y="2615046"/>
                <a:ext cx="10826337" cy="2843892"/>
              </a:xfrm>
              <a:prstGeom prst="roundRect">
                <a:avLst>
                  <a:gd name="adj" fmla="val 9490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C̳álculos!F31">
            <xdr:nvSpPr>
              <xdr:cNvPr id="13" name="Retângulo: Cantos Arredondados 12">
                <a:extLst>
                  <a:ext uri="{FF2B5EF4-FFF2-40B4-BE49-F238E27FC236}">
                    <a16:creationId xmlns:a16="http://schemas.microsoft.com/office/drawing/2014/main" id="{EB8E6F13-9CCB-2522-4DC3-9A1FB0D5CBFE}"/>
                  </a:ext>
                </a:extLst>
              </xdr:cNvPr>
              <xdr:cNvSpPr/>
            </xdr:nvSpPr>
            <xdr:spPr>
              <a:xfrm>
                <a:off x="9174834" y="3325090"/>
                <a:ext cx="4506529" cy="1726871"/>
              </a:xfrm>
              <a:prstGeom prst="roundRect">
                <a:avLst>
                  <a:gd name="adj" fmla="val 12471"/>
                </a:avLst>
              </a:prstGeom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lvl="0" algn="ctr"/>
                <a:fld id="{13FC6A6F-E84A-40DA-AC5E-F6F4D1856CEE}" type="TxLink">
                  <a:rPr lang="en-US" sz="3200" b="1" i="0" u="none" strike="noStrike">
                    <a:solidFill>
                      <a:schemeClr val="bg1"/>
                    </a:solidFill>
                    <a:effectLst/>
                    <a:latin typeface="Aptos Narrow"/>
                    <a:ea typeface="+mn-ea"/>
                    <a:cs typeface="+mn-cs"/>
                  </a:rPr>
                  <a:pPr lvl="0" algn="ctr"/>
                  <a:t> R$ 1.350,00 </a:t>
                </a:fld>
                <a:endParaRPr lang="pt-BR" sz="7200" b="1" i="0" u="none" strike="noStrike">
                  <a:solidFill>
                    <a:schemeClr val="bg1"/>
                  </a:solidFill>
                  <a:effectLst/>
                  <a:latin typeface="+mn-lt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18" name="Retângulo: Cantos Superiores Arredondados 17">
                <a:extLst>
                  <a:ext uri="{FF2B5EF4-FFF2-40B4-BE49-F238E27FC236}">
                    <a16:creationId xmlns:a16="http://schemas.microsoft.com/office/drawing/2014/main" id="{946EBE3D-43CA-E81E-F9FE-EB398290725C}"/>
                  </a:ext>
                </a:extLst>
              </xdr:cNvPr>
              <xdr:cNvSpPr/>
            </xdr:nvSpPr>
            <xdr:spPr>
              <a:xfrm>
                <a:off x="3984200" y="2407228"/>
                <a:ext cx="10807929" cy="502372"/>
              </a:xfrm>
              <a:prstGeom prst="round2SameRect">
                <a:avLst>
                  <a:gd name="adj1" fmla="val 50000"/>
                  <a:gd name="adj2" fmla="val 0"/>
                </a:avLst>
              </a:prstGeom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600" b="1"/>
                  <a:t>TOTAL SUBSCRIPTIONS EA PLAY SEASON PASS</a:t>
                </a:r>
              </a:p>
            </xdr:txBody>
          </xdr:sp>
        </xdr:grpSp>
      </xdr:grp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F30C0673-C10B-474C-8B62-A3D614783A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691991" y="3291691"/>
            <a:ext cx="2737509" cy="2762250"/>
          </a:xfrm>
          <a:prstGeom prst="rect">
            <a:avLst/>
          </a:prstGeom>
        </xdr:spPr>
      </xdr:pic>
    </xdr:grpSp>
    <xdr:clientData/>
  </xdr:twoCellAnchor>
  <xdr:twoCellAnchor>
    <xdr:from>
      <xdr:col>17</xdr:col>
      <xdr:colOff>603690</xdr:colOff>
      <xdr:row>9</xdr:row>
      <xdr:rowOff>135083</xdr:rowOff>
    </xdr:from>
    <xdr:to>
      <xdr:col>31</xdr:col>
      <xdr:colOff>121227</xdr:colOff>
      <xdr:row>26</xdr:row>
      <xdr:rowOff>31173</xdr:rowOff>
    </xdr:to>
    <xdr:grpSp>
      <xdr:nvGrpSpPr>
        <xdr:cNvPr id="42" name="Agrupar 41">
          <a:extLst>
            <a:ext uri="{FF2B5EF4-FFF2-40B4-BE49-F238E27FC236}">
              <a16:creationId xmlns:a16="http://schemas.microsoft.com/office/drawing/2014/main" id="{ACC06E35-4CA2-D5D3-6EE7-6E5A6F8615B1}"/>
            </a:ext>
          </a:extLst>
        </xdr:cNvPr>
        <xdr:cNvGrpSpPr/>
      </xdr:nvGrpSpPr>
      <xdr:grpSpPr>
        <a:xfrm>
          <a:off x="13419145" y="2940628"/>
          <a:ext cx="8003446" cy="3134590"/>
          <a:chOff x="12293463" y="2957946"/>
          <a:chExt cx="6960892" cy="3134590"/>
        </a:xfrm>
      </xdr:grpSpPr>
      <xdr:grpSp>
        <xdr:nvGrpSpPr>
          <xdr:cNvPr id="40" name="Agrupar 39">
            <a:extLst>
              <a:ext uri="{FF2B5EF4-FFF2-40B4-BE49-F238E27FC236}">
                <a16:creationId xmlns:a16="http://schemas.microsoft.com/office/drawing/2014/main" id="{7EB0C039-AEB7-967A-95C4-7557BC125177}"/>
              </a:ext>
            </a:extLst>
          </xdr:cNvPr>
          <xdr:cNvGrpSpPr/>
        </xdr:nvGrpSpPr>
        <xdr:grpSpPr>
          <a:xfrm>
            <a:off x="12293463" y="2957946"/>
            <a:ext cx="6960892" cy="3134590"/>
            <a:chOff x="12293463" y="2957946"/>
            <a:chExt cx="6960892" cy="3134590"/>
          </a:xfrm>
        </xdr:grpSpPr>
        <xdr:sp macro="" textlink="">
          <xdr:nvSpPr>
            <xdr:cNvPr id="33" name="Retângulo: Cantos Arredondados 32">
              <a:extLst>
                <a:ext uri="{FF2B5EF4-FFF2-40B4-BE49-F238E27FC236}">
                  <a16:creationId xmlns:a16="http://schemas.microsoft.com/office/drawing/2014/main" id="{170E9661-B7BD-4BD3-BD2C-2A30CD340D41}"/>
                </a:ext>
              </a:extLst>
            </xdr:cNvPr>
            <xdr:cNvSpPr/>
          </xdr:nvSpPr>
          <xdr:spPr>
            <a:xfrm>
              <a:off x="12361717" y="3096490"/>
              <a:ext cx="6892638" cy="2996046"/>
            </a:xfrm>
            <a:prstGeom prst="roundRect">
              <a:avLst>
                <a:gd name="adj" fmla="val 10309"/>
              </a:avLst>
            </a:prstGeom>
            <a:solidFill>
              <a:schemeClr val="tx1">
                <a:lumMod val="50000"/>
                <a:lumOff val="5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pSp>
          <xdr:nvGrpSpPr>
            <xdr:cNvPr id="24" name="Agrupar 23">
              <a:extLst>
                <a:ext uri="{FF2B5EF4-FFF2-40B4-BE49-F238E27FC236}">
                  <a16:creationId xmlns:a16="http://schemas.microsoft.com/office/drawing/2014/main" id="{EEC1E47E-0161-480A-8C01-FB2DE09EEF12}"/>
                </a:ext>
              </a:extLst>
            </xdr:cNvPr>
            <xdr:cNvGrpSpPr/>
          </xdr:nvGrpSpPr>
          <xdr:grpSpPr>
            <a:xfrm>
              <a:off x="12293463" y="2957946"/>
              <a:ext cx="6891619" cy="3051710"/>
              <a:chOff x="3963390" y="2407228"/>
              <a:chExt cx="10828739" cy="3051710"/>
            </a:xfrm>
          </xdr:grpSpPr>
          <xdr:sp macro="" textlink="">
            <xdr:nvSpPr>
              <xdr:cNvPr id="25" name="Retângulo: Cantos Arredondados 24">
                <a:extLst>
                  <a:ext uri="{FF2B5EF4-FFF2-40B4-BE49-F238E27FC236}">
                    <a16:creationId xmlns:a16="http://schemas.microsoft.com/office/drawing/2014/main" id="{2A7956E5-3A42-14D2-900A-86CC816ABF60}"/>
                  </a:ext>
                </a:extLst>
              </xdr:cNvPr>
              <xdr:cNvSpPr/>
            </xdr:nvSpPr>
            <xdr:spPr>
              <a:xfrm>
                <a:off x="3963390" y="2615046"/>
                <a:ext cx="10826337" cy="2843892"/>
              </a:xfrm>
              <a:prstGeom prst="roundRect">
                <a:avLst>
                  <a:gd name="adj" fmla="val 9490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C̳álculos!G39">
            <xdr:nvSpPr>
              <xdr:cNvPr id="26" name="Retângulo: Cantos Arredondados 25">
                <a:extLst>
                  <a:ext uri="{FF2B5EF4-FFF2-40B4-BE49-F238E27FC236}">
                    <a16:creationId xmlns:a16="http://schemas.microsoft.com/office/drawing/2014/main" id="{3240FE81-6DB7-CD1D-4273-054D4AEB5405}"/>
                  </a:ext>
                </a:extLst>
              </xdr:cNvPr>
              <xdr:cNvSpPr/>
            </xdr:nvSpPr>
            <xdr:spPr>
              <a:xfrm>
                <a:off x="9174834" y="3325090"/>
                <a:ext cx="4506529" cy="1726871"/>
              </a:xfrm>
              <a:prstGeom prst="roundRect">
                <a:avLst>
                  <a:gd name="adj" fmla="val 12471"/>
                </a:avLst>
              </a:prstGeom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lvl="0" algn="ctr"/>
                <a:fld id="{22C6EED5-E289-4999-A003-0A5C6DF60865}" type="TxLink">
                  <a:rPr lang="en-US" sz="3200" b="1" i="0" u="none" strike="noStrike">
                    <a:solidFill>
                      <a:schemeClr val="bg1"/>
                    </a:solidFill>
                    <a:effectLst/>
                    <a:latin typeface="Aptos Narrow"/>
                    <a:ea typeface="+mn-ea"/>
                    <a:cs typeface="+mn-cs"/>
                  </a:rPr>
                  <a:pPr lvl="0" algn="ctr"/>
                  <a:t> R$ 1.800,00 </a:t>
                </a:fld>
                <a:endParaRPr lang="pt-BR" sz="7200" b="1" i="0" u="none" strike="noStrike">
                  <a:solidFill>
                    <a:schemeClr val="bg1"/>
                  </a:solidFill>
                  <a:effectLst/>
                  <a:latin typeface="+mn-lt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27" name="Retângulo: Cantos Superiores Arredondados 26">
                <a:extLst>
                  <a:ext uri="{FF2B5EF4-FFF2-40B4-BE49-F238E27FC236}">
                    <a16:creationId xmlns:a16="http://schemas.microsoft.com/office/drawing/2014/main" id="{C3636CBC-299C-7E3E-89CF-685830DD083D}"/>
                  </a:ext>
                </a:extLst>
              </xdr:cNvPr>
              <xdr:cNvSpPr/>
            </xdr:nvSpPr>
            <xdr:spPr>
              <a:xfrm>
                <a:off x="3984200" y="2407228"/>
                <a:ext cx="10807929" cy="502372"/>
              </a:xfrm>
              <a:prstGeom prst="round2SameRect">
                <a:avLst>
                  <a:gd name="adj1" fmla="val 50000"/>
                  <a:gd name="adj2" fmla="val 0"/>
                </a:avLst>
              </a:prstGeom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600" b="1" cap="all" baseline="0"/>
                  <a:t>TOTAL SUBSCRIPTIONS Minecraft Season Pass</a:t>
                </a:r>
              </a:p>
            </xdr:txBody>
          </xdr:sp>
        </xdr:grpSp>
      </xdr:grpSp>
      <xdr:grpSp>
        <xdr:nvGrpSpPr>
          <xdr:cNvPr id="29" name="Agrupar 28">
            <a:extLst>
              <a:ext uri="{FF2B5EF4-FFF2-40B4-BE49-F238E27FC236}">
                <a16:creationId xmlns:a16="http://schemas.microsoft.com/office/drawing/2014/main" id="{8F0855A7-30F5-4B63-8156-DF0AE9231173}"/>
              </a:ext>
            </a:extLst>
          </xdr:cNvPr>
          <xdr:cNvGrpSpPr/>
        </xdr:nvGrpSpPr>
        <xdr:grpSpPr>
          <a:xfrm>
            <a:off x="12934236" y="4104410"/>
            <a:ext cx="2063310" cy="1181967"/>
            <a:chOff x="3495675" y="5400674"/>
            <a:chExt cx="1549476" cy="752476"/>
          </a:xfrm>
        </xdr:grpSpPr>
        <xdr:pic>
          <xdr:nvPicPr>
            <xdr:cNvPr id="30" name="Imagem 29">
              <a:extLst>
                <a:ext uri="{FF2B5EF4-FFF2-40B4-BE49-F238E27FC236}">
                  <a16:creationId xmlns:a16="http://schemas.microsoft.com/office/drawing/2014/main" id="{FA61C169-C241-5644-2896-BC7F47E0689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31" name="Gráfico 30">
              <a:extLst>
                <a:ext uri="{FF2B5EF4-FFF2-40B4-BE49-F238E27FC236}">
                  <a16:creationId xmlns:a16="http://schemas.microsoft.com/office/drawing/2014/main" id="{1F352E0A-4451-2998-94F0-D2DC7D3AD58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33</xdr:col>
      <xdr:colOff>184590</xdr:colOff>
      <xdr:row>10</xdr:row>
      <xdr:rowOff>10393</xdr:rowOff>
    </xdr:from>
    <xdr:to>
      <xdr:col>46</xdr:col>
      <xdr:colOff>308263</xdr:colOff>
      <xdr:row>26</xdr:row>
      <xdr:rowOff>96983</xdr:rowOff>
    </xdr:to>
    <xdr:grpSp>
      <xdr:nvGrpSpPr>
        <xdr:cNvPr id="55" name="Agrupar 54">
          <a:extLst>
            <a:ext uri="{FF2B5EF4-FFF2-40B4-BE49-F238E27FC236}">
              <a16:creationId xmlns:a16="http://schemas.microsoft.com/office/drawing/2014/main" id="{B86C73D0-1BF0-F474-B5BB-31660F919873}"/>
            </a:ext>
          </a:extLst>
        </xdr:cNvPr>
        <xdr:cNvGrpSpPr/>
      </xdr:nvGrpSpPr>
      <xdr:grpSpPr>
        <a:xfrm>
          <a:off x="22698226" y="3006438"/>
          <a:ext cx="8003446" cy="3134590"/>
          <a:chOff x="12293463" y="2957946"/>
          <a:chExt cx="6960892" cy="3134590"/>
        </a:xfrm>
      </xdr:grpSpPr>
      <xdr:sp macro="" textlink="">
        <xdr:nvSpPr>
          <xdr:cNvPr id="59" name="Retângulo: Cantos Arredondados 58">
            <a:extLst>
              <a:ext uri="{FF2B5EF4-FFF2-40B4-BE49-F238E27FC236}">
                <a16:creationId xmlns:a16="http://schemas.microsoft.com/office/drawing/2014/main" id="{6EDDC2CA-EC82-142B-5301-84B01AE2F85A}"/>
              </a:ext>
            </a:extLst>
          </xdr:cNvPr>
          <xdr:cNvSpPr/>
        </xdr:nvSpPr>
        <xdr:spPr>
          <a:xfrm>
            <a:off x="12361717" y="3096490"/>
            <a:ext cx="6892638" cy="2996046"/>
          </a:xfrm>
          <a:prstGeom prst="roundRect">
            <a:avLst>
              <a:gd name="adj" fmla="val 10309"/>
            </a:avLst>
          </a:prstGeom>
          <a:solidFill>
            <a:schemeClr val="tx1">
              <a:lumMod val="50000"/>
              <a:lumOff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60" name="Agrupar 59">
            <a:extLst>
              <a:ext uri="{FF2B5EF4-FFF2-40B4-BE49-F238E27FC236}">
                <a16:creationId xmlns:a16="http://schemas.microsoft.com/office/drawing/2014/main" id="{849483D5-41EA-0833-C99C-9B178E11E6D1}"/>
              </a:ext>
            </a:extLst>
          </xdr:cNvPr>
          <xdr:cNvGrpSpPr/>
        </xdr:nvGrpSpPr>
        <xdr:grpSpPr>
          <a:xfrm>
            <a:off x="12293463" y="2957946"/>
            <a:ext cx="6891619" cy="3051710"/>
            <a:chOff x="3963390" y="2407228"/>
            <a:chExt cx="10828739" cy="3051710"/>
          </a:xfrm>
        </xdr:grpSpPr>
        <xdr:sp macro="" textlink="">
          <xdr:nvSpPr>
            <xdr:cNvPr id="61" name="Retângulo: Cantos Arredondados 60">
              <a:extLst>
                <a:ext uri="{FF2B5EF4-FFF2-40B4-BE49-F238E27FC236}">
                  <a16:creationId xmlns:a16="http://schemas.microsoft.com/office/drawing/2014/main" id="{B7FA75F7-517B-3E26-C461-A33FD7446F4B}"/>
                </a:ext>
              </a:extLst>
            </xdr:cNvPr>
            <xdr:cNvSpPr/>
          </xdr:nvSpPr>
          <xdr:spPr>
            <a:xfrm>
              <a:off x="3963390" y="2615046"/>
              <a:ext cx="10826337" cy="2843892"/>
            </a:xfrm>
            <a:prstGeom prst="roundRect">
              <a:avLst>
                <a:gd name="adj" fmla="val 949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G89">
          <xdr:nvSpPr>
            <xdr:cNvPr id="62" name="Retângulo: Cantos Arredondados 61">
              <a:extLst>
                <a:ext uri="{FF2B5EF4-FFF2-40B4-BE49-F238E27FC236}">
                  <a16:creationId xmlns:a16="http://schemas.microsoft.com/office/drawing/2014/main" id="{5D152853-3D0B-597C-CB5D-1B5FAB5B6E38}"/>
                </a:ext>
              </a:extLst>
            </xdr:cNvPr>
            <xdr:cNvSpPr/>
          </xdr:nvSpPr>
          <xdr:spPr>
            <a:xfrm>
              <a:off x="9174834" y="3325090"/>
              <a:ext cx="4506529" cy="1726871"/>
            </a:xfrm>
            <a:prstGeom prst="roundRect">
              <a:avLst>
                <a:gd name="adj" fmla="val 12471"/>
              </a:avLst>
            </a:prstGeom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lvl="0" algn="ctr"/>
              <a:fld id="{E2CEBAAF-FBF7-43A9-892B-7BC5803915C4}" type="TxLink">
                <a:rPr lang="en-US" sz="3200" b="1" i="0" u="none" strike="noStrike">
                  <a:solidFill>
                    <a:schemeClr val="bg1"/>
                  </a:solidFill>
                  <a:effectLst/>
                  <a:latin typeface="Aptos Narrow"/>
                  <a:ea typeface="+mn-ea"/>
                  <a:cs typeface="+mn-cs"/>
                </a:rPr>
                <a:pPr lvl="0" algn="ctr"/>
                <a:t> R$ 949,00 </a:t>
              </a:fld>
              <a:endParaRPr lang="en-US" sz="7200" b="1" i="0" u="none" strike="noStrike">
                <a:solidFill>
                  <a:schemeClr val="bg1"/>
                </a:solidFill>
                <a:effectLst/>
                <a:latin typeface="Aptos Narrow"/>
                <a:ea typeface="+mn-ea"/>
                <a:cs typeface="+mn-cs"/>
              </a:endParaRPr>
            </a:p>
          </xdr:txBody>
        </xdr:sp>
        <xdr:sp macro="" textlink="">
          <xdr:nvSpPr>
            <xdr:cNvPr id="63" name="Retângulo: Cantos Superiores Arredondados 62">
              <a:extLst>
                <a:ext uri="{FF2B5EF4-FFF2-40B4-BE49-F238E27FC236}">
                  <a16:creationId xmlns:a16="http://schemas.microsoft.com/office/drawing/2014/main" id="{F09A4235-8DD2-13CB-E34D-631A4CDC05B7}"/>
                </a:ext>
              </a:extLst>
            </xdr:cNvPr>
            <xdr:cNvSpPr/>
          </xdr:nvSpPr>
          <xdr:spPr>
            <a:xfrm>
              <a:off x="3984200" y="2407228"/>
              <a:ext cx="10807929" cy="502372"/>
            </a:xfrm>
            <a:prstGeom prst="round2SameRect">
              <a:avLst>
                <a:gd name="adj1" fmla="val 50000"/>
                <a:gd name="adj2" fmla="val 0"/>
              </a:avLst>
            </a:prstGeom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 b="1" cap="all" baseline="0"/>
                <a:t>Total coupon value applied</a:t>
              </a:r>
            </a:p>
          </xdr:txBody>
        </xdr:sp>
      </xdr:grpSp>
    </xdr:grpSp>
    <xdr:clientData/>
  </xdr:twoCellAnchor>
  <xdr:twoCellAnchor>
    <xdr:from>
      <xdr:col>25</xdr:col>
      <xdr:colOff>231954</xdr:colOff>
      <xdr:row>31</xdr:row>
      <xdr:rowOff>103908</xdr:rowOff>
    </xdr:from>
    <xdr:to>
      <xdr:col>46</xdr:col>
      <xdr:colOff>360217</xdr:colOff>
      <xdr:row>58</xdr:row>
      <xdr:rowOff>117765</xdr:rowOff>
    </xdr:to>
    <xdr:grpSp>
      <xdr:nvGrpSpPr>
        <xdr:cNvPr id="74" name="Agrupar 73">
          <a:extLst>
            <a:ext uri="{FF2B5EF4-FFF2-40B4-BE49-F238E27FC236}">
              <a16:creationId xmlns:a16="http://schemas.microsoft.com/office/drawing/2014/main" id="{01516801-DC39-E4CE-D687-4262CFAA9C5F}"/>
            </a:ext>
          </a:extLst>
        </xdr:cNvPr>
        <xdr:cNvGrpSpPr/>
      </xdr:nvGrpSpPr>
      <xdr:grpSpPr>
        <a:xfrm>
          <a:off x="17896499" y="7100453"/>
          <a:ext cx="12857127" cy="5157357"/>
          <a:chOff x="18554591" y="7100453"/>
          <a:chExt cx="12857127" cy="5157357"/>
        </a:xfrm>
      </xdr:grpSpPr>
      <xdr:sp macro="" textlink="">
        <xdr:nvSpPr>
          <xdr:cNvPr id="66" name="Retângulo: Cantos Arredondados 65">
            <a:extLst>
              <a:ext uri="{FF2B5EF4-FFF2-40B4-BE49-F238E27FC236}">
                <a16:creationId xmlns:a16="http://schemas.microsoft.com/office/drawing/2014/main" id="{A18DEC54-AF4D-ADFB-7D95-C43DBED0D12F}"/>
              </a:ext>
            </a:extLst>
          </xdr:cNvPr>
          <xdr:cNvSpPr/>
        </xdr:nvSpPr>
        <xdr:spPr>
          <a:xfrm>
            <a:off x="18693244" y="7234568"/>
            <a:ext cx="12718474" cy="5023242"/>
          </a:xfrm>
          <a:prstGeom prst="roundRect">
            <a:avLst>
              <a:gd name="adj" fmla="val 8869"/>
            </a:avLst>
          </a:prstGeom>
          <a:solidFill>
            <a:schemeClr val="tx1">
              <a:lumMod val="50000"/>
              <a:lumOff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73" name="Agrupar 72">
            <a:extLst>
              <a:ext uri="{FF2B5EF4-FFF2-40B4-BE49-F238E27FC236}">
                <a16:creationId xmlns:a16="http://schemas.microsoft.com/office/drawing/2014/main" id="{CDACE7A1-2215-C4BC-6AC9-61734027889B}"/>
              </a:ext>
            </a:extLst>
          </xdr:cNvPr>
          <xdr:cNvGrpSpPr/>
        </xdr:nvGrpSpPr>
        <xdr:grpSpPr>
          <a:xfrm>
            <a:off x="18554591" y="7100453"/>
            <a:ext cx="12770536" cy="5076586"/>
            <a:chOff x="18554591" y="7100453"/>
            <a:chExt cx="12770536" cy="5076586"/>
          </a:xfrm>
        </xdr:grpSpPr>
        <xdr:grpSp>
          <xdr:nvGrpSpPr>
            <xdr:cNvPr id="67" name="Agrupar 66">
              <a:extLst>
                <a:ext uri="{FF2B5EF4-FFF2-40B4-BE49-F238E27FC236}">
                  <a16:creationId xmlns:a16="http://schemas.microsoft.com/office/drawing/2014/main" id="{7C92D172-3AE1-EC98-F773-488857A4B00F}"/>
                </a:ext>
              </a:extLst>
            </xdr:cNvPr>
            <xdr:cNvGrpSpPr/>
          </xdr:nvGrpSpPr>
          <xdr:grpSpPr>
            <a:xfrm>
              <a:off x="18554591" y="7100453"/>
              <a:ext cx="12770536" cy="5076586"/>
              <a:chOff x="4443737" y="7046556"/>
              <a:chExt cx="7609718" cy="4305514"/>
            </a:xfrm>
          </xdr:grpSpPr>
          <xdr:sp macro="" textlink="">
            <xdr:nvSpPr>
              <xdr:cNvPr id="70" name="Retângulo: Cantos Arredondados 69">
                <a:extLst>
                  <a:ext uri="{FF2B5EF4-FFF2-40B4-BE49-F238E27FC236}">
                    <a16:creationId xmlns:a16="http://schemas.microsoft.com/office/drawing/2014/main" id="{3C6C6629-9D90-4132-9969-CDEA374A19FA}"/>
                  </a:ext>
                </a:extLst>
              </xdr:cNvPr>
              <xdr:cNvSpPr/>
            </xdr:nvSpPr>
            <xdr:spPr>
              <a:xfrm>
                <a:off x="4444588" y="7283534"/>
                <a:ext cx="7608867" cy="4068536"/>
              </a:xfrm>
              <a:prstGeom prst="roundRect">
                <a:avLst>
                  <a:gd name="adj" fmla="val 7455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none" rtlCol="0" anchor="t"/>
              <a:lstStyle/>
              <a:p>
                <a:pPr algn="l"/>
                <a:endParaRPr lang="pt-BR" sz="1100"/>
              </a:p>
            </xdr:txBody>
          </xdr:sp>
          <xdr:sp macro="" textlink="">
            <xdr:nvSpPr>
              <xdr:cNvPr id="69" name="Retângulo: Cantos Superiores Arredondados 68">
                <a:extLst>
                  <a:ext uri="{FF2B5EF4-FFF2-40B4-BE49-F238E27FC236}">
                    <a16:creationId xmlns:a16="http://schemas.microsoft.com/office/drawing/2014/main" id="{8183679E-FC5B-3E76-85F3-620CE15403D8}"/>
                  </a:ext>
                </a:extLst>
              </xdr:cNvPr>
              <xdr:cNvSpPr/>
            </xdr:nvSpPr>
            <xdr:spPr>
              <a:xfrm>
                <a:off x="4443737" y="7046556"/>
                <a:ext cx="7609718" cy="440633"/>
              </a:xfrm>
              <a:prstGeom prst="round2SameRect">
                <a:avLst>
                  <a:gd name="adj1" fmla="val 44474"/>
                  <a:gd name="adj2" fmla="val 0"/>
                </a:avLst>
              </a:prstGeom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marR="0" lvl="0" indent="0" algn="ctr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pt-BR" sz="1600" b="1" cap="all" baseline="0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  <a:t>total monthly subscriptions</a:t>
                </a:r>
                <a:endParaRPr lang="pt-BR" sz="1600" b="1">
                  <a:effectLst/>
                </a:endParaRPr>
              </a:p>
              <a:p>
                <a:pPr algn="ctr"/>
                <a:endParaRPr lang="pt-BR" sz="1100"/>
              </a:p>
            </xdr:txBody>
          </xdr:sp>
        </xdr:grpSp>
        <xdr:graphicFrame macro="">
          <xdr:nvGraphicFramePr>
            <xdr:cNvPr id="64" name="Gráfico 63">
              <a:extLst>
                <a:ext uri="{FF2B5EF4-FFF2-40B4-BE49-F238E27FC236}">
                  <a16:creationId xmlns:a16="http://schemas.microsoft.com/office/drawing/2014/main" id="{83006983-BBD1-4122-B273-E34EF2A683B5}"/>
                </a:ext>
              </a:extLst>
            </xdr:cNvPr>
            <xdr:cNvGraphicFramePr>
              <a:graphicFrameLocks/>
            </xdr:cNvGraphicFramePr>
          </xdr:nvGraphicFramePr>
          <xdr:xfrm>
            <a:off x="19031928" y="7845138"/>
            <a:ext cx="11806482" cy="403513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</xdr:grpSp>
    </xdr:grpSp>
    <xdr:clientData/>
  </xdr:twoCellAnchor>
  <xdr:twoCellAnchor editAs="oneCell">
    <xdr:from>
      <xdr:col>34</xdr:col>
      <xdr:colOff>467591</xdr:colOff>
      <xdr:row>14</xdr:row>
      <xdr:rowOff>17320</xdr:rowOff>
    </xdr:from>
    <xdr:to>
      <xdr:col>38</xdr:col>
      <xdr:colOff>23870</xdr:colOff>
      <xdr:row>24</xdr:row>
      <xdr:rowOff>103909</xdr:rowOff>
    </xdr:to>
    <xdr:pic>
      <xdr:nvPicPr>
        <xdr:cNvPr id="72" name="Imagem 71" descr="Desconto png Imagens – Download Grátis no Freepik">
          <a:extLst>
            <a:ext uri="{FF2B5EF4-FFF2-40B4-BE49-F238E27FC236}">
              <a16:creationId xmlns:a16="http://schemas.microsoft.com/office/drawing/2014/main" id="{D709F5CA-8CC0-FD6E-5D99-7D221B44F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87364" y="3775365"/>
          <a:ext cx="1980824" cy="1991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44</xdr:col>
      <xdr:colOff>311727</xdr:colOff>
      <xdr:row>4</xdr:row>
      <xdr:rowOff>121229</xdr:rowOff>
    </xdr:from>
    <xdr:to>
      <xdr:col>46</xdr:col>
      <xdr:colOff>470189</xdr:colOff>
      <xdr:row>4</xdr:row>
      <xdr:rowOff>1388053</xdr:rowOff>
    </xdr:to>
    <xdr:sp macro="" textlink="">
      <xdr:nvSpPr>
        <xdr:cNvPr id="75" name="Elipse 74">
          <a:extLst>
            <a:ext uri="{FF2B5EF4-FFF2-40B4-BE49-F238E27FC236}">
              <a16:creationId xmlns:a16="http://schemas.microsoft.com/office/drawing/2014/main" id="{EFE44AC3-995F-444F-AEFC-F1CC3075717B}"/>
            </a:ext>
          </a:extLst>
        </xdr:cNvPr>
        <xdr:cNvSpPr/>
      </xdr:nvSpPr>
      <xdr:spPr>
        <a:xfrm>
          <a:off x="29492863" y="259774"/>
          <a:ext cx="1370735" cy="1266824"/>
        </a:xfrm>
        <a:prstGeom prst="ellipse">
          <a:avLst/>
        </a:prstGeom>
        <a:blipFill>
          <a:blip xmlns:r="http://schemas.openxmlformats.org/officeDocument/2006/relationships" r:embed="rId9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1228725</xdr:colOff>
      <xdr:row>14</xdr:row>
      <xdr:rowOff>161925</xdr:rowOff>
    </xdr:from>
    <xdr:to>
      <xdr:col>8</xdr:col>
      <xdr:colOff>836840</xdr:colOff>
      <xdr:row>28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975DA447-AD83-A0DC-A83E-7B8ABB2EA1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79304" y="2828925"/>
              <a:ext cx="1836965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8</xdr:col>
      <xdr:colOff>1000125</xdr:colOff>
      <xdr:row>14</xdr:row>
      <xdr:rowOff>100012</xdr:rowOff>
    </xdr:from>
    <xdr:to>
      <xdr:col>12</xdr:col>
      <xdr:colOff>142875</xdr:colOff>
      <xdr:row>28</xdr:row>
      <xdr:rowOff>176212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79638F2-8EA9-D51B-BEE5-D769B07B53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489857</xdr:colOff>
      <xdr:row>41</xdr:row>
      <xdr:rowOff>149678</xdr:rowOff>
    </xdr:from>
    <xdr:to>
      <xdr:col>19</xdr:col>
      <xdr:colOff>458125</xdr:colOff>
      <xdr:row>62</xdr:row>
      <xdr:rowOff>184314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7C43985-EC47-49D4-BBC4-F4C4C69799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izeu Lucio" refreshedDate="46034.853220833334" createdVersion="8" refreshedVersion="8" minRefreshableVersion="3" recordCount="295" xr:uid="{E42C99A5-FAA2-4C99-A6B4-71E7AE081588}">
  <cacheSource type="worksheet">
    <worksheetSource name="Tabela1"/>
  </cacheSource>
  <cacheFields count="14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3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31986543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x v="0"/>
    <x v="0"/>
    <x v="0"/>
    <x v="0"/>
    <x v="0"/>
    <n v="20"/>
    <n v="5"/>
    <n v="60"/>
  </r>
  <r>
    <n v="3232"/>
    <s v="Maria Oliveira"/>
    <x v="1"/>
    <x v="1"/>
    <x v="1"/>
    <x v="1"/>
    <x v="1"/>
    <x v="1"/>
    <x v="1"/>
    <x v="1"/>
    <n v="0"/>
    <n v="0"/>
    <n v="5"/>
  </r>
  <r>
    <n v="3233"/>
    <s v="Lucas Fernandes"/>
    <x v="2"/>
    <x v="2"/>
    <x v="0"/>
    <x v="2"/>
    <x v="2"/>
    <x v="1"/>
    <x v="1"/>
    <x v="0"/>
    <n v="20"/>
    <n v="10"/>
    <n v="20"/>
  </r>
  <r>
    <n v="3234"/>
    <s v="Ana Souza"/>
    <x v="0"/>
    <x v="3"/>
    <x v="1"/>
    <x v="0"/>
    <x v="0"/>
    <x v="0"/>
    <x v="0"/>
    <x v="0"/>
    <n v="20"/>
    <n v="3"/>
    <n v="62"/>
  </r>
  <r>
    <n v="3235"/>
    <s v="Pedro Gonçalves"/>
    <x v="1"/>
    <x v="4"/>
    <x v="0"/>
    <x v="1"/>
    <x v="0"/>
    <x v="1"/>
    <x v="1"/>
    <x v="1"/>
    <n v="0"/>
    <n v="1"/>
    <n v="4"/>
  </r>
  <r>
    <n v="3236"/>
    <s v="Felipe Costa"/>
    <x v="2"/>
    <x v="5"/>
    <x v="1"/>
    <x v="2"/>
    <x v="0"/>
    <x v="1"/>
    <x v="1"/>
    <x v="0"/>
    <n v="20"/>
    <n v="2"/>
    <n v="28"/>
  </r>
  <r>
    <n v="3237"/>
    <s v="Camila Ribeiro"/>
    <x v="0"/>
    <x v="6"/>
    <x v="0"/>
    <x v="0"/>
    <x v="2"/>
    <x v="0"/>
    <x v="0"/>
    <x v="0"/>
    <n v="20"/>
    <n v="10"/>
    <n v="55"/>
  </r>
  <r>
    <n v="3238"/>
    <s v="André Mendes"/>
    <x v="1"/>
    <x v="7"/>
    <x v="0"/>
    <x v="1"/>
    <x v="1"/>
    <x v="1"/>
    <x v="1"/>
    <x v="1"/>
    <n v="0"/>
    <n v="0"/>
    <n v="5"/>
  </r>
  <r>
    <n v="3239"/>
    <s v="Sofia Almeida"/>
    <x v="0"/>
    <x v="4"/>
    <x v="1"/>
    <x v="0"/>
    <x v="0"/>
    <x v="0"/>
    <x v="0"/>
    <x v="0"/>
    <n v="20"/>
    <n v="5"/>
    <n v="60"/>
  </r>
  <r>
    <n v="3240"/>
    <s v="Bruno Martins"/>
    <x v="2"/>
    <x v="8"/>
    <x v="0"/>
    <x v="2"/>
    <x v="2"/>
    <x v="1"/>
    <x v="1"/>
    <x v="0"/>
    <n v="20"/>
    <n v="15"/>
    <n v="15"/>
  </r>
  <r>
    <n v="3241"/>
    <s v="Rita Castro"/>
    <x v="1"/>
    <x v="9"/>
    <x v="1"/>
    <x v="1"/>
    <x v="0"/>
    <x v="1"/>
    <x v="1"/>
    <x v="1"/>
    <n v="0"/>
    <n v="1"/>
    <n v="4"/>
  </r>
  <r>
    <n v="3242"/>
    <s v="Marco Túlio"/>
    <x v="0"/>
    <x v="10"/>
    <x v="0"/>
    <x v="0"/>
    <x v="1"/>
    <x v="0"/>
    <x v="0"/>
    <x v="0"/>
    <n v="20"/>
    <n v="20"/>
    <n v="45"/>
  </r>
  <r>
    <n v="3243"/>
    <s v="Lívia Silveira"/>
    <x v="2"/>
    <x v="11"/>
    <x v="1"/>
    <x v="2"/>
    <x v="0"/>
    <x v="1"/>
    <x v="1"/>
    <x v="0"/>
    <n v="20"/>
    <n v="10"/>
    <n v="20"/>
  </r>
  <r>
    <n v="3244"/>
    <s v="Diogo Sousa"/>
    <x v="1"/>
    <x v="12"/>
    <x v="0"/>
    <x v="1"/>
    <x v="2"/>
    <x v="1"/>
    <x v="1"/>
    <x v="1"/>
    <n v="0"/>
    <n v="0"/>
    <n v="5"/>
  </r>
  <r>
    <n v="3245"/>
    <s v="Fernanda Lima"/>
    <x v="0"/>
    <x v="13"/>
    <x v="1"/>
    <x v="0"/>
    <x v="0"/>
    <x v="0"/>
    <x v="0"/>
    <x v="0"/>
    <n v="20"/>
    <n v="8"/>
    <n v="57"/>
  </r>
  <r>
    <n v="3246"/>
    <s v="Caio Pereira"/>
    <x v="2"/>
    <x v="14"/>
    <x v="0"/>
    <x v="2"/>
    <x v="1"/>
    <x v="1"/>
    <x v="1"/>
    <x v="0"/>
    <n v="20"/>
    <n v="12"/>
    <n v="18"/>
  </r>
  <r>
    <n v="3247"/>
    <s v="Beatriz Gomes"/>
    <x v="1"/>
    <x v="15"/>
    <x v="1"/>
    <x v="1"/>
    <x v="0"/>
    <x v="1"/>
    <x v="1"/>
    <x v="1"/>
    <n v="0"/>
    <n v="2"/>
    <n v="3"/>
  </r>
  <r>
    <n v="3248"/>
    <s v="Cesar Oliveira"/>
    <x v="0"/>
    <x v="16"/>
    <x v="0"/>
    <x v="0"/>
    <x v="2"/>
    <x v="0"/>
    <x v="0"/>
    <x v="0"/>
    <n v="20"/>
    <n v="7"/>
    <n v="58"/>
  </r>
  <r>
    <n v="3249"/>
    <s v="Débora Machado"/>
    <x v="2"/>
    <x v="17"/>
    <x v="1"/>
    <x v="2"/>
    <x v="0"/>
    <x v="1"/>
    <x v="1"/>
    <x v="0"/>
    <n v="20"/>
    <n v="5"/>
    <n v="25"/>
  </r>
  <r>
    <n v="3250"/>
    <s v="Eduardo Vargas"/>
    <x v="1"/>
    <x v="18"/>
    <x v="0"/>
    <x v="1"/>
    <x v="1"/>
    <x v="1"/>
    <x v="1"/>
    <x v="1"/>
    <n v="0"/>
    <n v="0"/>
    <n v="5"/>
  </r>
  <r>
    <n v="3251"/>
    <s v="Gabriela Santos"/>
    <x v="0"/>
    <x v="19"/>
    <x v="1"/>
    <x v="0"/>
    <x v="0"/>
    <x v="0"/>
    <x v="0"/>
    <x v="0"/>
    <n v="20"/>
    <n v="3"/>
    <n v="62"/>
  </r>
  <r>
    <n v="3252"/>
    <s v="Henrique Dias"/>
    <x v="2"/>
    <x v="20"/>
    <x v="0"/>
    <x v="2"/>
    <x v="2"/>
    <x v="1"/>
    <x v="1"/>
    <x v="0"/>
    <n v="20"/>
    <n v="15"/>
    <n v="15"/>
  </r>
  <r>
    <n v="3253"/>
    <s v="Isabela Moreira"/>
    <x v="1"/>
    <x v="21"/>
    <x v="1"/>
    <x v="1"/>
    <x v="0"/>
    <x v="1"/>
    <x v="1"/>
    <x v="1"/>
    <n v="0"/>
    <n v="1"/>
    <n v="4"/>
  </r>
  <r>
    <n v="3254"/>
    <s v="Joaquim Barbosa"/>
    <x v="0"/>
    <x v="22"/>
    <x v="0"/>
    <x v="0"/>
    <x v="1"/>
    <x v="0"/>
    <x v="0"/>
    <x v="0"/>
    <n v="20"/>
    <n v="20"/>
    <n v="45"/>
  </r>
  <r>
    <n v="3255"/>
    <s v="Lara Rocha"/>
    <x v="2"/>
    <x v="23"/>
    <x v="1"/>
    <x v="2"/>
    <x v="0"/>
    <x v="1"/>
    <x v="1"/>
    <x v="0"/>
    <n v="20"/>
    <n v="10"/>
    <n v="20"/>
  </r>
  <r>
    <n v="3256"/>
    <s v="Matheus Silva"/>
    <x v="1"/>
    <x v="24"/>
    <x v="0"/>
    <x v="1"/>
    <x v="2"/>
    <x v="1"/>
    <x v="1"/>
    <x v="1"/>
    <n v="0"/>
    <n v="0"/>
    <n v="5"/>
  </r>
  <r>
    <n v="3257"/>
    <s v="Nicole Costa"/>
    <x v="0"/>
    <x v="25"/>
    <x v="1"/>
    <x v="0"/>
    <x v="0"/>
    <x v="0"/>
    <x v="0"/>
    <x v="0"/>
    <n v="20"/>
    <n v="5"/>
    <n v="60"/>
  </r>
  <r>
    <n v="3258"/>
    <s v="Otávio Mendonça"/>
    <x v="2"/>
    <x v="26"/>
    <x v="0"/>
    <x v="2"/>
    <x v="1"/>
    <x v="1"/>
    <x v="1"/>
    <x v="0"/>
    <n v="20"/>
    <n v="15"/>
    <n v="15"/>
  </r>
  <r>
    <n v="3259"/>
    <s v="Paula Ferreira"/>
    <x v="1"/>
    <x v="27"/>
    <x v="1"/>
    <x v="1"/>
    <x v="0"/>
    <x v="1"/>
    <x v="1"/>
    <x v="1"/>
    <n v="0"/>
    <n v="1"/>
    <n v="4"/>
  </r>
  <r>
    <n v="3260"/>
    <s v="Raquel Alves"/>
    <x v="0"/>
    <x v="28"/>
    <x v="0"/>
    <x v="0"/>
    <x v="2"/>
    <x v="0"/>
    <x v="0"/>
    <x v="0"/>
    <n v="20"/>
    <n v="7"/>
    <n v="58"/>
  </r>
  <r>
    <n v="3261"/>
    <s v="Samuel Pires"/>
    <x v="2"/>
    <x v="29"/>
    <x v="1"/>
    <x v="2"/>
    <x v="0"/>
    <x v="1"/>
    <x v="1"/>
    <x v="0"/>
    <n v="20"/>
    <n v="10"/>
    <n v="20"/>
  </r>
  <r>
    <n v="3262"/>
    <s v="Tânia Barros"/>
    <x v="1"/>
    <x v="30"/>
    <x v="0"/>
    <x v="1"/>
    <x v="1"/>
    <x v="1"/>
    <x v="1"/>
    <x v="1"/>
    <n v="0"/>
    <n v="0"/>
    <n v="5"/>
  </r>
  <r>
    <n v="3263"/>
    <s v="Vinicius Lima"/>
    <x v="0"/>
    <x v="31"/>
    <x v="1"/>
    <x v="0"/>
    <x v="0"/>
    <x v="0"/>
    <x v="0"/>
    <x v="0"/>
    <n v="20"/>
    <n v="3"/>
    <n v="62"/>
  </r>
  <r>
    <n v="3264"/>
    <s v="Yasmin Teixeira"/>
    <x v="2"/>
    <x v="32"/>
    <x v="0"/>
    <x v="2"/>
    <x v="2"/>
    <x v="1"/>
    <x v="1"/>
    <x v="0"/>
    <n v="20"/>
    <n v="15"/>
    <n v="15"/>
  </r>
  <r>
    <n v="3265"/>
    <s v="Zé Carlos"/>
    <x v="1"/>
    <x v="33"/>
    <x v="1"/>
    <x v="1"/>
    <x v="0"/>
    <x v="1"/>
    <x v="1"/>
    <x v="1"/>
    <n v="0"/>
    <n v="1"/>
    <n v="4"/>
  </r>
  <r>
    <n v="3266"/>
    <s v="Amanda Nogueira"/>
    <x v="1"/>
    <x v="34"/>
    <x v="0"/>
    <x v="1"/>
    <x v="0"/>
    <x v="1"/>
    <x v="1"/>
    <x v="1"/>
    <n v="0"/>
    <n v="0"/>
    <n v="5"/>
  </r>
  <r>
    <n v="3267"/>
    <s v="Bruno Cavalheiro"/>
    <x v="0"/>
    <x v="35"/>
    <x v="1"/>
    <x v="0"/>
    <x v="2"/>
    <x v="0"/>
    <x v="0"/>
    <x v="0"/>
    <n v="20"/>
    <n v="7"/>
    <n v="58"/>
  </r>
  <r>
    <n v="3268"/>
    <s v="Carla Dias"/>
    <x v="2"/>
    <x v="36"/>
    <x v="0"/>
    <x v="2"/>
    <x v="1"/>
    <x v="1"/>
    <x v="1"/>
    <x v="0"/>
    <n v="20"/>
    <n v="10"/>
    <n v="20"/>
  </r>
  <r>
    <n v="3269"/>
    <s v="Diego Fontes"/>
    <x v="1"/>
    <x v="37"/>
    <x v="1"/>
    <x v="1"/>
    <x v="2"/>
    <x v="1"/>
    <x v="1"/>
    <x v="1"/>
    <n v="0"/>
    <n v="1"/>
    <n v="4"/>
  </r>
  <r>
    <n v="3270"/>
    <s v="Eunice Lima"/>
    <x v="0"/>
    <x v="38"/>
    <x v="0"/>
    <x v="0"/>
    <x v="0"/>
    <x v="0"/>
    <x v="0"/>
    <x v="0"/>
    <n v="20"/>
    <n v="15"/>
    <n v="50"/>
  </r>
  <r>
    <n v="3271"/>
    <s v="Fábio Martins"/>
    <x v="2"/>
    <x v="39"/>
    <x v="1"/>
    <x v="2"/>
    <x v="0"/>
    <x v="1"/>
    <x v="1"/>
    <x v="0"/>
    <n v="20"/>
    <n v="5"/>
    <n v="25"/>
  </r>
  <r>
    <n v="3272"/>
    <s v="Gisele Araújo"/>
    <x v="1"/>
    <x v="40"/>
    <x v="0"/>
    <x v="1"/>
    <x v="1"/>
    <x v="1"/>
    <x v="1"/>
    <x v="1"/>
    <n v="0"/>
    <n v="0"/>
    <n v="5"/>
  </r>
  <r>
    <n v="3273"/>
    <s v="Hélio Castro"/>
    <x v="0"/>
    <x v="41"/>
    <x v="1"/>
    <x v="0"/>
    <x v="2"/>
    <x v="0"/>
    <x v="0"/>
    <x v="0"/>
    <n v="20"/>
    <n v="20"/>
    <n v="45"/>
  </r>
  <r>
    <n v="3274"/>
    <s v="Ingrid Menezes"/>
    <x v="2"/>
    <x v="42"/>
    <x v="0"/>
    <x v="2"/>
    <x v="2"/>
    <x v="1"/>
    <x v="1"/>
    <x v="0"/>
    <n v="20"/>
    <n v="12"/>
    <n v="18"/>
  </r>
  <r>
    <n v="3275"/>
    <s v="Jorge Baptista"/>
    <x v="1"/>
    <x v="43"/>
    <x v="1"/>
    <x v="1"/>
    <x v="0"/>
    <x v="1"/>
    <x v="1"/>
    <x v="1"/>
    <n v="0"/>
    <n v="2"/>
    <n v="3"/>
  </r>
  <r>
    <n v="3276"/>
    <s v="Kléber Oliveira"/>
    <x v="0"/>
    <x v="44"/>
    <x v="0"/>
    <x v="0"/>
    <x v="1"/>
    <x v="0"/>
    <x v="0"/>
    <x v="0"/>
    <n v="20"/>
    <n v="5"/>
    <n v="60"/>
  </r>
  <r>
    <n v="3277"/>
    <s v="Luciana Freitas"/>
    <x v="2"/>
    <x v="45"/>
    <x v="1"/>
    <x v="2"/>
    <x v="0"/>
    <x v="1"/>
    <x v="1"/>
    <x v="0"/>
    <n v="20"/>
    <n v="10"/>
    <n v="20"/>
  </r>
  <r>
    <n v="3278"/>
    <s v="Márcia Eller"/>
    <x v="1"/>
    <x v="46"/>
    <x v="0"/>
    <x v="1"/>
    <x v="2"/>
    <x v="1"/>
    <x v="1"/>
    <x v="1"/>
    <n v="0"/>
    <n v="0"/>
    <n v="5"/>
  </r>
  <r>
    <n v="3279"/>
    <s v="Nilo Peçanha"/>
    <x v="0"/>
    <x v="47"/>
    <x v="1"/>
    <x v="0"/>
    <x v="0"/>
    <x v="0"/>
    <x v="0"/>
    <x v="0"/>
    <n v="20"/>
    <n v="3"/>
    <n v="62"/>
  </r>
  <r>
    <n v="3280"/>
    <s v="Oscar Neves"/>
    <x v="2"/>
    <x v="48"/>
    <x v="0"/>
    <x v="2"/>
    <x v="1"/>
    <x v="1"/>
    <x v="1"/>
    <x v="0"/>
    <n v="20"/>
    <n v="15"/>
    <n v="15"/>
  </r>
  <r>
    <n v="3281"/>
    <s v="Patrícia Soares"/>
    <x v="1"/>
    <x v="49"/>
    <x v="1"/>
    <x v="1"/>
    <x v="0"/>
    <x v="1"/>
    <x v="1"/>
    <x v="1"/>
    <n v="0"/>
    <n v="1"/>
    <n v="4"/>
  </r>
  <r>
    <n v="3282"/>
    <s v="Quirino Gonçalves"/>
    <x v="0"/>
    <x v="50"/>
    <x v="0"/>
    <x v="0"/>
    <x v="2"/>
    <x v="0"/>
    <x v="0"/>
    <x v="0"/>
    <n v="20"/>
    <n v="7"/>
    <n v="58"/>
  </r>
  <r>
    <n v="3283"/>
    <s v="Raul Machado"/>
    <x v="2"/>
    <x v="51"/>
    <x v="1"/>
    <x v="2"/>
    <x v="0"/>
    <x v="1"/>
    <x v="1"/>
    <x v="0"/>
    <n v="20"/>
    <n v="10"/>
    <n v="20"/>
  </r>
  <r>
    <n v="3284"/>
    <s v="Sônia Lobo"/>
    <x v="1"/>
    <x v="52"/>
    <x v="0"/>
    <x v="1"/>
    <x v="1"/>
    <x v="1"/>
    <x v="1"/>
    <x v="1"/>
    <n v="0"/>
    <n v="0"/>
    <n v="5"/>
  </r>
  <r>
    <n v="3285"/>
    <s v="Tiago Ramos"/>
    <x v="0"/>
    <x v="53"/>
    <x v="1"/>
    <x v="0"/>
    <x v="0"/>
    <x v="0"/>
    <x v="0"/>
    <x v="0"/>
    <n v="20"/>
    <n v="20"/>
    <n v="45"/>
  </r>
  <r>
    <n v="3286"/>
    <s v="Ugo Pires"/>
    <x v="2"/>
    <x v="54"/>
    <x v="0"/>
    <x v="2"/>
    <x v="2"/>
    <x v="1"/>
    <x v="1"/>
    <x v="0"/>
    <n v="20"/>
    <n v="15"/>
    <n v="15"/>
  </r>
  <r>
    <n v="3287"/>
    <s v="Valéria Nobre"/>
    <x v="1"/>
    <x v="55"/>
    <x v="1"/>
    <x v="1"/>
    <x v="0"/>
    <x v="1"/>
    <x v="1"/>
    <x v="1"/>
    <n v="0"/>
    <n v="1"/>
    <n v="4"/>
  </r>
  <r>
    <n v="3288"/>
    <s v="William Siqueira"/>
    <x v="0"/>
    <x v="56"/>
    <x v="0"/>
    <x v="0"/>
    <x v="1"/>
    <x v="0"/>
    <x v="0"/>
    <x v="0"/>
    <n v="20"/>
    <n v="3"/>
    <n v="62"/>
  </r>
  <r>
    <n v="3289"/>
    <s v="Xuxa Meneghel"/>
    <x v="2"/>
    <x v="57"/>
    <x v="1"/>
    <x v="2"/>
    <x v="0"/>
    <x v="1"/>
    <x v="1"/>
    <x v="0"/>
    <n v="20"/>
    <n v="10"/>
    <n v="20"/>
  </r>
  <r>
    <n v="3290"/>
    <s v="Yara Figueiredo"/>
    <x v="1"/>
    <x v="58"/>
    <x v="0"/>
    <x v="1"/>
    <x v="2"/>
    <x v="1"/>
    <x v="1"/>
    <x v="1"/>
    <n v="0"/>
    <n v="0"/>
    <n v="5"/>
  </r>
  <r>
    <n v="3291"/>
    <s v="Zacarias Alves"/>
    <x v="0"/>
    <x v="59"/>
    <x v="1"/>
    <x v="0"/>
    <x v="0"/>
    <x v="0"/>
    <x v="0"/>
    <x v="0"/>
    <n v="20"/>
    <n v="5"/>
    <n v="60"/>
  </r>
  <r>
    <n v="3292"/>
    <s v="Amanda Bynes"/>
    <x v="2"/>
    <x v="60"/>
    <x v="0"/>
    <x v="2"/>
    <x v="1"/>
    <x v="1"/>
    <x v="1"/>
    <x v="0"/>
    <n v="20"/>
    <n v="15"/>
    <n v="15"/>
  </r>
  <r>
    <n v="3293"/>
    <s v="Bruno Mars"/>
    <x v="1"/>
    <x v="61"/>
    <x v="1"/>
    <x v="1"/>
    <x v="0"/>
    <x v="1"/>
    <x v="1"/>
    <x v="1"/>
    <n v="0"/>
    <n v="1"/>
    <n v="4"/>
  </r>
  <r>
    <n v="3294"/>
    <s v="Carla Bruni"/>
    <x v="0"/>
    <x v="62"/>
    <x v="0"/>
    <x v="0"/>
    <x v="2"/>
    <x v="0"/>
    <x v="0"/>
    <x v="0"/>
    <n v="20"/>
    <n v="20"/>
    <n v="45"/>
  </r>
  <r>
    <n v="3295"/>
    <s v="Diego Maradona"/>
    <x v="2"/>
    <x v="63"/>
    <x v="1"/>
    <x v="2"/>
    <x v="0"/>
    <x v="1"/>
    <x v="1"/>
    <x v="0"/>
    <n v="20"/>
    <n v="5"/>
    <n v="25"/>
  </r>
  <r>
    <n v="3296"/>
    <s v="Estela Marques"/>
    <x v="1"/>
    <x v="64"/>
    <x v="1"/>
    <x v="1"/>
    <x v="0"/>
    <x v="1"/>
    <x v="1"/>
    <x v="1"/>
    <n v="0"/>
    <n v="0"/>
    <n v="5"/>
  </r>
  <r>
    <n v="3297"/>
    <s v="Fábio Nobre"/>
    <x v="0"/>
    <x v="65"/>
    <x v="0"/>
    <x v="0"/>
    <x v="2"/>
    <x v="0"/>
    <x v="0"/>
    <x v="0"/>
    <n v="20"/>
    <n v="7"/>
    <n v="58"/>
  </r>
  <r>
    <n v="3298"/>
    <s v="Gabriel Oliveira"/>
    <x v="2"/>
    <x v="66"/>
    <x v="1"/>
    <x v="2"/>
    <x v="1"/>
    <x v="1"/>
    <x v="1"/>
    <x v="0"/>
    <n v="20"/>
    <n v="10"/>
    <n v="20"/>
  </r>
  <r>
    <n v="3299"/>
    <s v="Helena Santos"/>
    <x v="1"/>
    <x v="67"/>
    <x v="0"/>
    <x v="1"/>
    <x v="2"/>
    <x v="1"/>
    <x v="1"/>
    <x v="1"/>
    <n v="0"/>
    <n v="1"/>
    <n v="4"/>
  </r>
  <r>
    <n v="3300"/>
    <s v="Ivan Carvalho"/>
    <x v="0"/>
    <x v="68"/>
    <x v="1"/>
    <x v="0"/>
    <x v="0"/>
    <x v="0"/>
    <x v="0"/>
    <x v="0"/>
    <n v="20"/>
    <n v="15"/>
    <n v="50"/>
  </r>
  <r>
    <n v="3301"/>
    <s v="Júlia Ferreira"/>
    <x v="2"/>
    <x v="69"/>
    <x v="0"/>
    <x v="2"/>
    <x v="0"/>
    <x v="1"/>
    <x v="1"/>
    <x v="0"/>
    <n v="20"/>
    <n v="5"/>
    <n v="25"/>
  </r>
  <r>
    <n v="3302"/>
    <s v="Karla Alves"/>
    <x v="1"/>
    <x v="70"/>
    <x v="1"/>
    <x v="1"/>
    <x v="1"/>
    <x v="1"/>
    <x v="1"/>
    <x v="1"/>
    <n v="0"/>
    <n v="0"/>
    <n v="5"/>
  </r>
  <r>
    <n v="3303"/>
    <s v="Lucas Mendes"/>
    <x v="0"/>
    <x v="71"/>
    <x v="0"/>
    <x v="0"/>
    <x v="2"/>
    <x v="0"/>
    <x v="0"/>
    <x v="0"/>
    <n v="20"/>
    <n v="20"/>
    <n v="45"/>
  </r>
  <r>
    <n v="3304"/>
    <s v="Mônica Gomes"/>
    <x v="2"/>
    <x v="72"/>
    <x v="1"/>
    <x v="2"/>
    <x v="2"/>
    <x v="1"/>
    <x v="1"/>
    <x v="0"/>
    <n v="20"/>
    <n v="12"/>
    <n v="18"/>
  </r>
  <r>
    <n v="3305"/>
    <s v="Norberto Queiroz"/>
    <x v="1"/>
    <x v="73"/>
    <x v="0"/>
    <x v="1"/>
    <x v="0"/>
    <x v="1"/>
    <x v="1"/>
    <x v="1"/>
    <n v="0"/>
    <n v="2"/>
    <n v="3"/>
  </r>
  <r>
    <n v="3306"/>
    <s v="Otávio Barros"/>
    <x v="0"/>
    <x v="74"/>
    <x v="1"/>
    <x v="0"/>
    <x v="1"/>
    <x v="0"/>
    <x v="0"/>
    <x v="0"/>
    <n v="20"/>
    <n v="5"/>
    <n v="60"/>
  </r>
  <r>
    <n v="3307"/>
    <s v="Paula Vieira"/>
    <x v="2"/>
    <x v="75"/>
    <x v="0"/>
    <x v="2"/>
    <x v="0"/>
    <x v="1"/>
    <x v="1"/>
    <x v="0"/>
    <n v="20"/>
    <n v="10"/>
    <n v="20"/>
  </r>
  <r>
    <n v="3308"/>
    <s v="Quentin Ramos"/>
    <x v="1"/>
    <x v="76"/>
    <x v="1"/>
    <x v="1"/>
    <x v="2"/>
    <x v="1"/>
    <x v="1"/>
    <x v="1"/>
    <n v="0"/>
    <n v="0"/>
    <n v="5"/>
  </r>
  <r>
    <n v="3309"/>
    <s v="Raquel Novaes"/>
    <x v="0"/>
    <x v="77"/>
    <x v="0"/>
    <x v="0"/>
    <x v="0"/>
    <x v="0"/>
    <x v="0"/>
    <x v="0"/>
    <n v="20"/>
    <n v="3"/>
    <n v="62"/>
  </r>
  <r>
    <n v="3310"/>
    <s v="Samantha Lopes"/>
    <x v="2"/>
    <x v="78"/>
    <x v="1"/>
    <x v="2"/>
    <x v="1"/>
    <x v="1"/>
    <x v="1"/>
    <x v="0"/>
    <n v="20"/>
    <n v="15"/>
    <n v="15"/>
  </r>
  <r>
    <n v="3311"/>
    <s v="Tiago Martins"/>
    <x v="1"/>
    <x v="79"/>
    <x v="0"/>
    <x v="1"/>
    <x v="0"/>
    <x v="1"/>
    <x v="1"/>
    <x v="1"/>
    <n v="0"/>
    <n v="1"/>
    <n v="4"/>
  </r>
  <r>
    <n v="3312"/>
    <s v="Ulysses Guimarães"/>
    <x v="0"/>
    <x v="80"/>
    <x v="1"/>
    <x v="0"/>
    <x v="2"/>
    <x v="0"/>
    <x v="0"/>
    <x v="0"/>
    <n v="20"/>
    <n v="7"/>
    <n v="58"/>
  </r>
  <r>
    <n v="3313"/>
    <s v="Vanessa Silva"/>
    <x v="2"/>
    <x v="81"/>
    <x v="0"/>
    <x v="2"/>
    <x v="0"/>
    <x v="1"/>
    <x v="1"/>
    <x v="0"/>
    <n v="20"/>
    <n v="10"/>
    <n v="20"/>
  </r>
  <r>
    <n v="3314"/>
    <s v="William Carneiro"/>
    <x v="1"/>
    <x v="82"/>
    <x v="1"/>
    <x v="1"/>
    <x v="1"/>
    <x v="1"/>
    <x v="1"/>
    <x v="1"/>
    <n v="0"/>
    <n v="0"/>
    <n v="5"/>
  </r>
  <r>
    <n v="3315"/>
    <s v="Ximena Rocha"/>
    <x v="0"/>
    <x v="83"/>
    <x v="0"/>
    <x v="0"/>
    <x v="0"/>
    <x v="0"/>
    <x v="0"/>
    <x v="0"/>
    <n v="20"/>
    <n v="20"/>
    <n v="45"/>
  </r>
  <r>
    <n v="3316"/>
    <s v="Yasmin Figueiredo"/>
    <x v="2"/>
    <x v="84"/>
    <x v="1"/>
    <x v="2"/>
    <x v="2"/>
    <x v="1"/>
    <x v="1"/>
    <x v="0"/>
    <n v="20"/>
    <n v="15"/>
    <n v="15"/>
  </r>
  <r>
    <n v="3317"/>
    <s v="Zara Cunha"/>
    <x v="1"/>
    <x v="85"/>
    <x v="0"/>
    <x v="1"/>
    <x v="0"/>
    <x v="1"/>
    <x v="1"/>
    <x v="1"/>
    <n v="0"/>
    <n v="1"/>
    <n v="4"/>
  </r>
  <r>
    <n v="3318"/>
    <s v="Alan Teixeira"/>
    <x v="0"/>
    <x v="86"/>
    <x v="1"/>
    <x v="0"/>
    <x v="1"/>
    <x v="0"/>
    <x v="0"/>
    <x v="0"/>
    <n v="20"/>
    <n v="3"/>
    <n v="62"/>
  </r>
  <r>
    <n v="3319"/>
    <s v="Bárbara Oliveira"/>
    <x v="2"/>
    <x v="87"/>
    <x v="0"/>
    <x v="2"/>
    <x v="0"/>
    <x v="1"/>
    <x v="1"/>
    <x v="0"/>
    <n v="20"/>
    <n v="10"/>
    <n v="20"/>
  </r>
  <r>
    <n v="3320"/>
    <s v="Carlos Junqueira"/>
    <x v="1"/>
    <x v="88"/>
    <x v="1"/>
    <x v="1"/>
    <x v="2"/>
    <x v="1"/>
    <x v="1"/>
    <x v="1"/>
    <n v="0"/>
    <n v="0"/>
    <n v="5"/>
  </r>
  <r>
    <n v="3321"/>
    <s v="Daniela Moura"/>
    <x v="0"/>
    <x v="89"/>
    <x v="0"/>
    <x v="0"/>
    <x v="0"/>
    <x v="0"/>
    <x v="0"/>
    <x v="0"/>
    <n v="20"/>
    <n v="5"/>
    <n v="60"/>
  </r>
  <r>
    <n v="3322"/>
    <s v="Eduardo Lima"/>
    <x v="2"/>
    <x v="90"/>
    <x v="1"/>
    <x v="2"/>
    <x v="1"/>
    <x v="1"/>
    <x v="1"/>
    <x v="0"/>
    <n v="20"/>
    <n v="15"/>
    <n v="15"/>
  </r>
  <r>
    <n v="3323"/>
    <s v="Fabiana Araújo"/>
    <x v="1"/>
    <x v="91"/>
    <x v="0"/>
    <x v="1"/>
    <x v="0"/>
    <x v="1"/>
    <x v="1"/>
    <x v="1"/>
    <n v="0"/>
    <n v="1"/>
    <n v="4"/>
  </r>
  <r>
    <n v="3324"/>
    <s v="Geraldo Ribeiro"/>
    <x v="0"/>
    <x v="92"/>
    <x v="1"/>
    <x v="0"/>
    <x v="2"/>
    <x v="0"/>
    <x v="0"/>
    <x v="0"/>
    <n v="20"/>
    <n v="20"/>
    <n v="45"/>
  </r>
  <r>
    <n v="3325"/>
    <s v="Héctor Vargas"/>
    <x v="2"/>
    <x v="93"/>
    <x v="0"/>
    <x v="2"/>
    <x v="2"/>
    <x v="1"/>
    <x v="1"/>
    <x v="0"/>
    <n v="20"/>
    <n v="15"/>
    <n v="15"/>
  </r>
  <r>
    <n v="3326"/>
    <s v="Isabela Fonseca"/>
    <x v="1"/>
    <x v="94"/>
    <x v="1"/>
    <x v="1"/>
    <x v="1"/>
    <x v="1"/>
    <x v="1"/>
    <x v="1"/>
    <n v="0"/>
    <n v="0"/>
    <n v="5"/>
  </r>
  <r>
    <n v="3327"/>
    <s v="João Pedro Almeida"/>
    <x v="0"/>
    <x v="95"/>
    <x v="0"/>
    <x v="0"/>
    <x v="0"/>
    <x v="0"/>
    <x v="0"/>
    <x v="0"/>
    <n v="20"/>
    <n v="7"/>
    <n v="58"/>
  </r>
  <r>
    <n v="3328"/>
    <s v="Klara Costa"/>
    <x v="2"/>
    <x v="96"/>
    <x v="1"/>
    <x v="2"/>
    <x v="1"/>
    <x v="1"/>
    <x v="1"/>
    <x v="0"/>
    <n v="20"/>
    <n v="10"/>
    <n v="20"/>
  </r>
  <r>
    <n v="3329"/>
    <s v="Luciana Mendes"/>
    <x v="1"/>
    <x v="97"/>
    <x v="0"/>
    <x v="1"/>
    <x v="2"/>
    <x v="1"/>
    <x v="1"/>
    <x v="1"/>
    <n v="0"/>
    <n v="1"/>
    <n v="4"/>
  </r>
  <r>
    <n v="3330"/>
    <s v="Marcelo Gouveia"/>
    <x v="0"/>
    <x v="98"/>
    <x v="1"/>
    <x v="0"/>
    <x v="0"/>
    <x v="0"/>
    <x v="0"/>
    <x v="0"/>
    <n v="20"/>
    <n v="15"/>
    <n v="50"/>
  </r>
  <r>
    <n v="3331"/>
    <s v="Nívea Borges"/>
    <x v="2"/>
    <x v="99"/>
    <x v="0"/>
    <x v="2"/>
    <x v="0"/>
    <x v="1"/>
    <x v="1"/>
    <x v="0"/>
    <n v="20"/>
    <n v="5"/>
    <n v="25"/>
  </r>
  <r>
    <n v="3332"/>
    <s v="Oscar Nogueira"/>
    <x v="1"/>
    <x v="100"/>
    <x v="1"/>
    <x v="1"/>
    <x v="1"/>
    <x v="1"/>
    <x v="1"/>
    <x v="1"/>
    <n v="0"/>
    <n v="0"/>
    <n v="5"/>
  </r>
  <r>
    <n v="3333"/>
    <s v="Patrícia Alves"/>
    <x v="0"/>
    <x v="101"/>
    <x v="0"/>
    <x v="0"/>
    <x v="2"/>
    <x v="0"/>
    <x v="0"/>
    <x v="0"/>
    <n v="20"/>
    <n v="20"/>
    <n v="45"/>
  </r>
  <r>
    <n v="3334"/>
    <s v="Rafaela Silva"/>
    <x v="2"/>
    <x v="102"/>
    <x v="1"/>
    <x v="2"/>
    <x v="2"/>
    <x v="1"/>
    <x v="1"/>
    <x v="0"/>
    <n v="20"/>
    <n v="12"/>
    <n v="18"/>
  </r>
  <r>
    <n v="3335"/>
    <s v="Samantha Moraes"/>
    <x v="1"/>
    <x v="103"/>
    <x v="0"/>
    <x v="1"/>
    <x v="0"/>
    <x v="1"/>
    <x v="1"/>
    <x v="1"/>
    <n v="0"/>
    <n v="2"/>
    <n v="3"/>
  </r>
  <r>
    <n v="3336"/>
    <s v="Tatiana Rocha"/>
    <x v="1"/>
    <x v="104"/>
    <x v="0"/>
    <x v="1"/>
    <x v="0"/>
    <x v="1"/>
    <x v="1"/>
    <x v="1"/>
    <n v="0"/>
    <n v="0"/>
    <n v="5"/>
  </r>
  <r>
    <n v="3337"/>
    <s v="Ulisses Tavares"/>
    <x v="0"/>
    <x v="105"/>
    <x v="1"/>
    <x v="0"/>
    <x v="2"/>
    <x v="0"/>
    <x v="0"/>
    <x v="0"/>
    <n v="20"/>
    <n v="7"/>
    <n v="58"/>
  </r>
  <r>
    <n v="3338"/>
    <s v="Víctor Lemos"/>
    <x v="2"/>
    <x v="106"/>
    <x v="0"/>
    <x v="2"/>
    <x v="1"/>
    <x v="1"/>
    <x v="1"/>
    <x v="0"/>
    <n v="20"/>
    <n v="10"/>
    <n v="20"/>
  </r>
  <r>
    <n v="3339"/>
    <s v="Wilma Barros"/>
    <x v="1"/>
    <x v="107"/>
    <x v="1"/>
    <x v="1"/>
    <x v="2"/>
    <x v="1"/>
    <x v="1"/>
    <x v="1"/>
    <n v="0"/>
    <n v="1"/>
    <n v="4"/>
  </r>
  <r>
    <n v="3340"/>
    <s v="Xavier Nascimento"/>
    <x v="0"/>
    <x v="108"/>
    <x v="0"/>
    <x v="0"/>
    <x v="0"/>
    <x v="0"/>
    <x v="0"/>
    <x v="0"/>
    <n v="20"/>
    <n v="15"/>
    <n v="50"/>
  </r>
  <r>
    <n v="3341"/>
    <s v="Yago Pereira"/>
    <x v="2"/>
    <x v="109"/>
    <x v="1"/>
    <x v="2"/>
    <x v="0"/>
    <x v="1"/>
    <x v="1"/>
    <x v="0"/>
    <n v="20"/>
    <n v="5"/>
    <n v="25"/>
  </r>
  <r>
    <n v="3342"/>
    <s v="Zilda Ferreira"/>
    <x v="1"/>
    <x v="110"/>
    <x v="0"/>
    <x v="1"/>
    <x v="1"/>
    <x v="1"/>
    <x v="1"/>
    <x v="1"/>
    <n v="0"/>
    <n v="0"/>
    <n v="5"/>
  </r>
  <r>
    <n v="3343"/>
    <s v="Amanda Lopes"/>
    <x v="0"/>
    <x v="111"/>
    <x v="1"/>
    <x v="0"/>
    <x v="2"/>
    <x v="0"/>
    <x v="0"/>
    <x v="0"/>
    <n v="20"/>
    <n v="20"/>
    <n v="45"/>
  </r>
  <r>
    <n v="3344"/>
    <s v="Bruno Miranda"/>
    <x v="2"/>
    <x v="112"/>
    <x v="0"/>
    <x v="2"/>
    <x v="2"/>
    <x v="1"/>
    <x v="1"/>
    <x v="0"/>
    <n v="20"/>
    <n v="12"/>
    <n v="18"/>
  </r>
  <r>
    <n v="3345"/>
    <s v="Célia Torres"/>
    <x v="1"/>
    <x v="113"/>
    <x v="1"/>
    <x v="1"/>
    <x v="0"/>
    <x v="1"/>
    <x v="1"/>
    <x v="1"/>
    <n v="0"/>
    <n v="2"/>
    <n v="3"/>
  </r>
  <r>
    <n v="3346"/>
    <s v="Diogo Souza"/>
    <x v="0"/>
    <x v="114"/>
    <x v="0"/>
    <x v="0"/>
    <x v="1"/>
    <x v="0"/>
    <x v="0"/>
    <x v="0"/>
    <n v="20"/>
    <n v="5"/>
    <n v="60"/>
  </r>
  <r>
    <n v="3347"/>
    <s v="Elisa Castro"/>
    <x v="2"/>
    <x v="115"/>
    <x v="1"/>
    <x v="2"/>
    <x v="0"/>
    <x v="1"/>
    <x v="1"/>
    <x v="0"/>
    <n v="20"/>
    <n v="10"/>
    <n v="20"/>
  </r>
  <r>
    <n v="3348"/>
    <s v="Fátima Lima"/>
    <x v="1"/>
    <x v="116"/>
    <x v="0"/>
    <x v="1"/>
    <x v="2"/>
    <x v="1"/>
    <x v="1"/>
    <x v="1"/>
    <n v="0"/>
    <n v="0"/>
    <n v="5"/>
  </r>
  <r>
    <n v="3349"/>
    <s v="Geraldo Ribeiro"/>
    <x v="0"/>
    <x v="117"/>
    <x v="1"/>
    <x v="0"/>
    <x v="0"/>
    <x v="0"/>
    <x v="0"/>
    <x v="0"/>
    <n v="20"/>
    <n v="3"/>
    <n v="62"/>
  </r>
  <r>
    <n v="3350"/>
    <s v="Hélio Martins"/>
    <x v="2"/>
    <x v="118"/>
    <x v="0"/>
    <x v="2"/>
    <x v="1"/>
    <x v="1"/>
    <x v="1"/>
    <x v="0"/>
    <n v="20"/>
    <n v="15"/>
    <n v="15"/>
  </r>
  <r>
    <n v="3351"/>
    <s v="Íris Santos"/>
    <x v="1"/>
    <x v="119"/>
    <x v="1"/>
    <x v="1"/>
    <x v="0"/>
    <x v="1"/>
    <x v="1"/>
    <x v="1"/>
    <n v="0"/>
    <n v="1"/>
    <n v="4"/>
  </r>
  <r>
    <n v="3352"/>
    <s v="João Marcelo"/>
    <x v="0"/>
    <x v="120"/>
    <x v="0"/>
    <x v="0"/>
    <x v="2"/>
    <x v="0"/>
    <x v="0"/>
    <x v="0"/>
    <n v="20"/>
    <n v="7"/>
    <n v="58"/>
  </r>
  <r>
    <n v="3353"/>
    <s v="Larissa Gomes"/>
    <x v="2"/>
    <x v="121"/>
    <x v="1"/>
    <x v="2"/>
    <x v="0"/>
    <x v="1"/>
    <x v="1"/>
    <x v="0"/>
    <n v="20"/>
    <n v="10"/>
    <n v="20"/>
  </r>
  <r>
    <n v="3354"/>
    <s v="Márcio Silva"/>
    <x v="1"/>
    <x v="122"/>
    <x v="0"/>
    <x v="1"/>
    <x v="1"/>
    <x v="1"/>
    <x v="1"/>
    <x v="1"/>
    <n v="0"/>
    <n v="0"/>
    <n v="5"/>
  </r>
  <r>
    <n v="3355"/>
    <s v="Nadia Costa"/>
    <x v="0"/>
    <x v="123"/>
    <x v="1"/>
    <x v="0"/>
    <x v="0"/>
    <x v="0"/>
    <x v="0"/>
    <x v="0"/>
    <n v="20"/>
    <n v="20"/>
    <n v="45"/>
  </r>
  <r>
    <n v="3356"/>
    <s v="Oscar Almeida"/>
    <x v="2"/>
    <x v="124"/>
    <x v="0"/>
    <x v="2"/>
    <x v="2"/>
    <x v="1"/>
    <x v="1"/>
    <x v="0"/>
    <n v="20"/>
    <n v="15"/>
    <n v="15"/>
  </r>
  <r>
    <n v="3357"/>
    <s v="Patricia Soares"/>
    <x v="1"/>
    <x v="125"/>
    <x v="1"/>
    <x v="1"/>
    <x v="0"/>
    <x v="1"/>
    <x v="1"/>
    <x v="1"/>
    <n v="0"/>
    <n v="1"/>
    <n v="4"/>
  </r>
  <r>
    <n v="3358"/>
    <s v="Quênia Barros"/>
    <x v="0"/>
    <x v="126"/>
    <x v="0"/>
    <x v="0"/>
    <x v="1"/>
    <x v="0"/>
    <x v="0"/>
    <x v="0"/>
    <n v="20"/>
    <n v="3"/>
    <n v="62"/>
  </r>
  <r>
    <n v="3359"/>
    <s v="Rafael Torres"/>
    <x v="2"/>
    <x v="127"/>
    <x v="1"/>
    <x v="2"/>
    <x v="0"/>
    <x v="1"/>
    <x v="1"/>
    <x v="0"/>
    <n v="20"/>
    <n v="10"/>
    <n v="20"/>
  </r>
  <r>
    <n v="3360"/>
    <s v="Silvia Nascimento"/>
    <x v="1"/>
    <x v="128"/>
    <x v="0"/>
    <x v="1"/>
    <x v="2"/>
    <x v="1"/>
    <x v="1"/>
    <x v="1"/>
    <n v="0"/>
    <n v="0"/>
    <n v="5"/>
  </r>
  <r>
    <n v="3361"/>
    <s v="Tiago Mendes"/>
    <x v="0"/>
    <x v="129"/>
    <x v="1"/>
    <x v="0"/>
    <x v="0"/>
    <x v="0"/>
    <x v="0"/>
    <x v="0"/>
    <n v="20"/>
    <n v="15"/>
    <n v="50"/>
  </r>
  <r>
    <n v="3362"/>
    <s v="Ursula Silva"/>
    <x v="2"/>
    <x v="130"/>
    <x v="0"/>
    <x v="2"/>
    <x v="1"/>
    <x v="1"/>
    <x v="1"/>
    <x v="0"/>
    <n v="20"/>
    <n v="15"/>
    <n v="15"/>
  </r>
  <r>
    <n v="3363"/>
    <s v="Vanessa Moraes"/>
    <x v="1"/>
    <x v="131"/>
    <x v="1"/>
    <x v="1"/>
    <x v="0"/>
    <x v="1"/>
    <x v="1"/>
    <x v="1"/>
    <n v="0"/>
    <n v="1"/>
    <n v="4"/>
  </r>
  <r>
    <n v="3364"/>
    <s v="Waldir Junior"/>
    <x v="0"/>
    <x v="132"/>
    <x v="0"/>
    <x v="0"/>
    <x v="2"/>
    <x v="0"/>
    <x v="0"/>
    <x v="0"/>
    <n v="20"/>
    <n v="7"/>
    <n v="58"/>
  </r>
  <r>
    <n v="3365"/>
    <s v="Xavier Lopes"/>
    <x v="2"/>
    <x v="133"/>
    <x v="1"/>
    <x v="2"/>
    <x v="0"/>
    <x v="1"/>
    <x v="1"/>
    <x v="0"/>
    <n v="20"/>
    <n v="10"/>
    <n v="20"/>
  </r>
  <r>
    <n v="3366"/>
    <s v="Yolanda Freitas"/>
    <x v="1"/>
    <x v="134"/>
    <x v="0"/>
    <x v="1"/>
    <x v="0"/>
    <x v="1"/>
    <x v="1"/>
    <x v="1"/>
    <n v="0"/>
    <n v="0"/>
    <n v="5"/>
  </r>
  <r>
    <n v="3367"/>
    <s v="Zacarias Nunes"/>
    <x v="0"/>
    <x v="135"/>
    <x v="1"/>
    <x v="0"/>
    <x v="2"/>
    <x v="0"/>
    <x v="0"/>
    <x v="0"/>
    <n v="20"/>
    <n v="7"/>
    <n v="58"/>
  </r>
  <r>
    <n v="3368"/>
    <s v="Ana Clara Barreto"/>
    <x v="2"/>
    <x v="136"/>
    <x v="0"/>
    <x v="2"/>
    <x v="1"/>
    <x v="1"/>
    <x v="1"/>
    <x v="0"/>
    <n v="20"/>
    <n v="10"/>
    <n v="20"/>
  </r>
  <r>
    <n v="3369"/>
    <s v="Bruno Henrique"/>
    <x v="1"/>
    <x v="137"/>
    <x v="1"/>
    <x v="1"/>
    <x v="2"/>
    <x v="1"/>
    <x v="1"/>
    <x v="1"/>
    <n v="0"/>
    <n v="1"/>
    <n v="4"/>
  </r>
  <r>
    <n v="3370"/>
    <s v="Carlos Eduardo"/>
    <x v="0"/>
    <x v="138"/>
    <x v="0"/>
    <x v="0"/>
    <x v="0"/>
    <x v="0"/>
    <x v="0"/>
    <x v="0"/>
    <n v="20"/>
    <n v="15"/>
    <n v="50"/>
  </r>
  <r>
    <n v="3371"/>
    <s v="Débora Lima"/>
    <x v="2"/>
    <x v="139"/>
    <x v="1"/>
    <x v="2"/>
    <x v="0"/>
    <x v="1"/>
    <x v="1"/>
    <x v="0"/>
    <n v="20"/>
    <n v="5"/>
    <n v="25"/>
  </r>
  <r>
    <n v="3372"/>
    <s v="Elisa Neves"/>
    <x v="1"/>
    <x v="140"/>
    <x v="0"/>
    <x v="1"/>
    <x v="1"/>
    <x v="1"/>
    <x v="1"/>
    <x v="1"/>
    <n v="0"/>
    <n v="0"/>
    <n v="5"/>
  </r>
  <r>
    <n v="3373"/>
    <s v="Fabiano Gomes"/>
    <x v="0"/>
    <x v="141"/>
    <x v="1"/>
    <x v="0"/>
    <x v="2"/>
    <x v="0"/>
    <x v="0"/>
    <x v="0"/>
    <n v="20"/>
    <n v="20"/>
    <n v="45"/>
  </r>
  <r>
    <n v="3374"/>
    <s v="Gisele Oliveira"/>
    <x v="2"/>
    <x v="142"/>
    <x v="0"/>
    <x v="2"/>
    <x v="2"/>
    <x v="1"/>
    <x v="1"/>
    <x v="0"/>
    <n v="20"/>
    <n v="12"/>
    <n v="18"/>
  </r>
  <r>
    <n v="3375"/>
    <s v="Héctor Silva"/>
    <x v="1"/>
    <x v="143"/>
    <x v="1"/>
    <x v="1"/>
    <x v="0"/>
    <x v="1"/>
    <x v="1"/>
    <x v="1"/>
    <n v="0"/>
    <n v="2"/>
    <n v="3"/>
  </r>
  <r>
    <n v="3376"/>
    <s v="Igor Martins"/>
    <x v="0"/>
    <x v="144"/>
    <x v="0"/>
    <x v="0"/>
    <x v="1"/>
    <x v="0"/>
    <x v="0"/>
    <x v="0"/>
    <n v="20"/>
    <n v="5"/>
    <n v="60"/>
  </r>
  <r>
    <n v="3377"/>
    <s v="Joana Figueiredo"/>
    <x v="2"/>
    <x v="145"/>
    <x v="1"/>
    <x v="2"/>
    <x v="0"/>
    <x v="1"/>
    <x v="1"/>
    <x v="0"/>
    <n v="20"/>
    <n v="10"/>
    <n v="20"/>
  </r>
  <r>
    <n v="3378"/>
    <s v="Kleber Machado"/>
    <x v="1"/>
    <x v="146"/>
    <x v="0"/>
    <x v="1"/>
    <x v="2"/>
    <x v="1"/>
    <x v="1"/>
    <x v="1"/>
    <n v="0"/>
    <n v="0"/>
    <n v="5"/>
  </r>
  <r>
    <n v="3379"/>
    <s v="Luciana Santos"/>
    <x v="0"/>
    <x v="147"/>
    <x v="1"/>
    <x v="0"/>
    <x v="0"/>
    <x v="0"/>
    <x v="0"/>
    <x v="0"/>
    <n v="20"/>
    <n v="3"/>
    <n v="62"/>
  </r>
  <r>
    <n v="3380"/>
    <s v="Marcos Teixeira"/>
    <x v="2"/>
    <x v="148"/>
    <x v="0"/>
    <x v="2"/>
    <x v="1"/>
    <x v="1"/>
    <x v="1"/>
    <x v="0"/>
    <n v="20"/>
    <n v="15"/>
    <n v="15"/>
  </r>
  <r>
    <n v="3381"/>
    <s v="Natalia Costa"/>
    <x v="1"/>
    <x v="149"/>
    <x v="1"/>
    <x v="1"/>
    <x v="0"/>
    <x v="1"/>
    <x v="1"/>
    <x v="1"/>
    <n v="0"/>
    <n v="1"/>
    <n v="4"/>
  </r>
  <r>
    <n v="3382"/>
    <s v="Oscar Ribeiro"/>
    <x v="0"/>
    <x v="150"/>
    <x v="0"/>
    <x v="0"/>
    <x v="2"/>
    <x v="0"/>
    <x v="0"/>
    <x v="0"/>
    <n v="20"/>
    <n v="7"/>
    <n v="58"/>
  </r>
  <r>
    <n v="3383"/>
    <s v="Patricia Almeida"/>
    <x v="2"/>
    <x v="151"/>
    <x v="1"/>
    <x v="2"/>
    <x v="0"/>
    <x v="1"/>
    <x v="1"/>
    <x v="0"/>
    <n v="20"/>
    <n v="10"/>
    <n v="20"/>
  </r>
  <r>
    <n v="3384"/>
    <s v="Quirino Junior"/>
    <x v="1"/>
    <x v="152"/>
    <x v="0"/>
    <x v="1"/>
    <x v="1"/>
    <x v="1"/>
    <x v="1"/>
    <x v="1"/>
    <n v="0"/>
    <n v="0"/>
    <n v="5"/>
  </r>
  <r>
    <n v="3385"/>
    <s v="Renata Machado"/>
    <x v="0"/>
    <x v="153"/>
    <x v="1"/>
    <x v="0"/>
    <x v="0"/>
    <x v="0"/>
    <x v="0"/>
    <x v="0"/>
    <n v="20"/>
    <n v="20"/>
    <n v="45"/>
  </r>
  <r>
    <n v="3386"/>
    <s v="Sônia Alves"/>
    <x v="2"/>
    <x v="154"/>
    <x v="0"/>
    <x v="2"/>
    <x v="2"/>
    <x v="1"/>
    <x v="1"/>
    <x v="0"/>
    <n v="20"/>
    <n v="15"/>
    <n v="15"/>
  </r>
  <r>
    <n v="3387"/>
    <s v="Tiago Nunes"/>
    <x v="1"/>
    <x v="155"/>
    <x v="1"/>
    <x v="1"/>
    <x v="0"/>
    <x v="1"/>
    <x v="1"/>
    <x v="1"/>
    <n v="0"/>
    <n v="1"/>
    <n v="4"/>
  </r>
  <r>
    <n v="3388"/>
    <s v="Ulysses Pereira"/>
    <x v="0"/>
    <x v="156"/>
    <x v="0"/>
    <x v="0"/>
    <x v="1"/>
    <x v="0"/>
    <x v="0"/>
    <x v="0"/>
    <n v="20"/>
    <n v="3"/>
    <n v="62"/>
  </r>
  <r>
    <n v="3389"/>
    <s v="Vanessa Lima"/>
    <x v="2"/>
    <x v="157"/>
    <x v="1"/>
    <x v="2"/>
    <x v="0"/>
    <x v="1"/>
    <x v="1"/>
    <x v="0"/>
    <n v="20"/>
    <n v="10"/>
    <n v="20"/>
  </r>
  <r>
    <n v="3390"/>
    <s v="Wagner Santos"/>
    <x v="1"/>
    <x v="158"/>
    <x v="0"/>
    <x v="1"/>
    <x v="2"/>
    <x v="1"/>
    <x v="1"/>
    <x v="1"/>
    <n v="0"/>
    <n v="0"/>
    <n v="5"/>
  </r>
  <r>
    <n v="3391"/>
    <s v="Xuxa Meneghel"/>
    <x v="0"/>
    <x v="159"/>
    <x v="1"/>
    <x v="0"/>
    <x v="0"/>
    <x v="0"/>
    <x v="0"/>
    <x v="0"/>
    <n v="20"/>
    <n v="15"/>
    <n v="50"/>
  </r>
  <r>
    <n v="3392"/>
    <s v="Yasmin Silva"/>
    <x v="2"/>
    <x v="160"/>
    <x v="0"/>
    <x v="2"/>
    <x v="1"/>
    <x v="1"/>
    <x v="1"/>
    <x v="0"/>
    <n v="20"/>
    <n v="15"/>
    <n v="15"/>
  </r>
  <r>
    <n v="3393"/>
    <s v="Zacarias de Souza"/>
    <x v="1"/>
    <x v="161"/>
    <x v="1"/>
    <x v="1"/>
    <x v="0"/>
    <x v="1"/>
    <x v="1"/>
    <x v="1"/>
    <n v="0"/>
    <n v="1"/>
    <n v="4"/>
  </r>
  <r>
    <n v="3394"/>
    <s v="André Lima"/>
    <x v="0"/>
    <x v="162"/>
    <x v="0"/>
    <x v="0"/>
    <x v="2"/>
    <x v="0"/>
    <x v="0"/>
    <x v="0"/>
    <n v="20"/>
    <n v="7"/>
    <n v="58"/>
  </r>
  <r>
    <n v="3395"/>
    <s v="Bianca Freitas"/>
    <x v="2"/>
    <x v="163"/>
    <x v="1"/>
    <x v="2"/>
    <x v="0"/>
    <x v="1"/>
    <x v="1"/>
    <x v="0"/>
    <n v="20"/>
    <n v="10"/>
    <n v="20"/>
  </r>
  <r>
    <n v="3396"/>
    <s v="Caio Mendes"/>
    <x v="1"/>
    <x v="164"/>
    <x v="0"/>
    <x v="1"/>
    <x v="1"/>
    <x v="1"/>
    <x v="1"/>
    <x v="1"/>
    <n v="0"/>
    <n v="0"/>
    <n v="5"/>
  </r>
  <r>
    <n v="3397"/>
    <s v="Daniela Moura"/>
    <x v="0"/>
    <x v="165"/>
    <x v="1"/>
    <x v="0"/>
    <x v="0"/>
    <x v="0"/>
    <x v="0"/>
    <x v="0"/>
    <n v="20"/>
    <n v="20"/>
    <n v="45"/>
  </r>
  <r>
    <n v="3398"/>
    <s v="Eduardo Costa"/>
    <x v="2"/>
    <x v="166"/>
    <x v="0"/>
    <x v="2"/>
    <x v="2"/>
    <x v="1"/>
    <x v="1"/>
    <x v="0"/>
    <n v="20"/>
    <n v="15"/>
    <n v="15"/>
  </r>
  <r>
    <n v="3399"/>
    <s v="Fernanda Gomes"/>
    <x v="1"/>
    <x v="167"/>
    <x v="1"/>
    <x v="1"/>
    <x v="0"/>
    <x v="1"/>
    <x v="1"/>
    <x v="1"/>
    <n v="0"/>
    <n v="1"/>
    <n v="4"/>
  </r>
  <r>
    <n v="3400"/>
    <s v="Guilherme Souza"/>
    <x v="0"/>
    <x v="168"/>
    <x v="0"/>
    <x v="0"/>
    <x v="1"/>
    <x v="0"/>
    <x v="0"/>
    <x v="0"/>
    <n v="20"/>
    <n v="5"/>
    <n v="60"/>
  </r>
  <r>
    <n v="3401"/>
    <s v="Helena Ribeiro"/>
    <x v="2"/>
    <x v="169"/>
    <x v="1"/>
    <x v="2"/>
    <x v="0"/>
    <x v="1"/>
    <x v="1"/>
    <x v="0"/>
    <n v="20"/>
    <n v="10"/>
    <n v="20"/>
  </r>
  <r>
    <n v="3402"/>
    <s v="Igor Santos"/>
    <x v="1"/>
    <x v="170"/>
    <x v="0"/>
    <x v="1"/>
    <x v="2"/>
    <x v="1"/>
    <x v="1"/>
    <x v="1"/>
    <n v="0"/>
    <n v="0"/>
    <n v="5"/>
  </r>
  <r>
    <n v="3403"/>
    <s v="João Carvalho"/>
    <x v="0"/>
    <x v="171"/>
    <x v="1"/>
    <x v="0"/>
    <x v="0"/>
    <x v="0"/>
    <x v="0"/>
    <x v="0"/>
    <n v="20"/>
    <n v="3"/>
    <n v="62"/>
  </r>
  <r>
    <n v="3404"/>
    <s v="Klara Fagundes"/>
    <x v="2"/>
    <x v="172"/>
    <x v="0"/>
    <x v="2"/>
    <x v="1"/>
    <x v="1"/>
    <x v="1"/>
    <x v="0"/>
    <n v="20"/>
    <n v="15"/>
    <n v="15"/>
  </r>
  <r>
    <n v="3405"/>
    <s v="Lúcia Mendonça"/>
    <x v="1"/>
    <x v="173"/>
    <x v="1"/>
    <x v="1"/>
    <x v="0"/>
    <x v="1"/>
    <x v="1"/>
    <x v="1"/>
    <n v="0"/>
    <n v="1"/>
    <n v="4"/>
  </r>
  <r>
    <n v="3406"/>
    <s v="Marcelo Novaes"/>
    <x v="1"/>
    <x v="174"/>
    <x v="0"/>
    <x v="1"/>
    <x v="0"/>
    <x v="1"/>
    <x v="1"/>
    <x v="1"/>
    <n v="0"/>
    <n v="0"/>
    <n v="5"/>
  </r>
  <r>
    <n v="3407"/>
    <s v="Nina Pacheco"/>
    <x v="0"/>
    <x v="175"/>
    <x v="1"/>
    <x v="0"/>
    <x v="2"/>
    <x v="0"/>
    <x v="0"/>
    <x v="0"/>
    <n v="20"/>
    <n v="7"/>
    <n v="58"/>
  </r>
  <r>
    <n v="3408"/>
    <s v="Olívia Rios"/>
    <x v="2"/>
    <x v="176"/>
    <x v="0"/>
    <x v="2"/>
    <x v="1"/>
    <x v="1"/>
    <x v="1"/>
    <x v="0"/>
    <n v="20"/>
    <n v="10"/>
    <n v="20"/>
  </r>
  <r>
    <n v="3409"/>
    <s v="Paulo Quintana"/>
    <x v="1"/>
    <x v="177"/>
    <x v="1"/>
    <x v="1"/>
    <x v="2"/>
    <x v="1"/>
    <x v="1"/>
    <x v="1"/>
    <n v="0"/>
    <n v="1"/>
    <n v="4"/>
  </r>
  <r>
    <n v="3410"/>
    <s v="Raquel Domingos"/>
    <x v="0"/>
    <x v="178"/>
    <x v="0"/>
    <x v="0"/>
    <x v="0"/>
    <x v="0"/>
    <x v="0"/>
    <x v="0"/>
    <n v="20"/>
    <n v="15"/>
    <n v="50"/>
  </r>
  <r>
    <n v="3411"/>
    <s v="Samuel Viana"/>
    <x v="2"/>
    <x v="179"/>
    <x v="1"/>
    <x v="2"/>
    <x v="0"/>
    <x v="1"/>
    <x v="1"/>
    <x v="0"/>
    <n v="20"/>
    <n v="5"/>
    <n v="25"/>
  </r>
  <r>
    <n v="3412"/>
    <s v="Tatiane Rocha"/>
    <x v="1"/>
    <x v="180"/>
    <x v="0"/>
    <x v="1"/>
    <x v="1"/>
    <x v="1"/>
    <x v="1"/>
    <x v="1"/>
    <n v="0"/>
    <n v="0"/>
    <n v="5"/>
  </r>
  <r>
    <n v="3413"/>
    <s v="Ulysses Farias"/>
    <x v="0"/>
    <x v="181"/>
    <x v="1"/>
    <x v="0"/>
    <x v="2"/>
    <x v="0"/>
    <x v="0"/>
    <x v="0"/>
    <n v="20"/>
    <n v="20"/>
    <n v="45"/>
  </r>
  <r>
    <n v="3414"/>
    <s v="Vanessa Moreira"/>
    <x v="2"/>
    <x v="182"/>
    <x v="0"/>
    <x v="2"/>
    <x v="2"/>
    <x v="1"/>
    <x v="1"/>
    <x v="0"/>
    <n v="20"/>
    <n v="12"/>
    <n v="18"/>
  </r>
  <r>
    <n v="3415"/>
    <s v="William Carvalho"/>
    <x v="1"/>
    <x v="183"/>
    <x v="1"/>
    <x v="1"/>
    <x v="0"/>
    <x v="1"/>
    <x v="1"/>
    <x v="1"/>
    <n v="0"/>
    <n v="2"/>
    <n v="3"/>
  </r>
  <r>
    <n v="3416"/>
    <s v="Ximena Barros"/>
    <x v="0"/>
    <x v="184"/>
    <x v="0"/>
    <x v="0"/>
    <x v="1"/>
    <x v="0"/>
    <x v="0"/>
    <x v="0"/>
    <n v="20"/>
    <n v="5"/>
    <n v="60"/>
  </r>
  <r>
    <n v="3417"/>
    <s v="Yara Machado"/>
    <x v="2"/>
    <x v="185"/>
    <x v="1"/>
    <x v="2"/>
    <x v="0"/>
    <x v="1"/>
    <x v="1"/>
    <x v="0"/>
    <n v="20"/>
    <n v="10"/>
    <n v="20"/>
  </r>
  <r>
    <n v="3418"/>
    <s v="Zacarias Costa"/>
    <x v="1"/>
    <x v="186"/>
    <x v="0"/>
    <x v="1"/>
    <x v="2"/>
    <x v="1"/>
    <x v="1"/>
    <x v="1"/>
    <n v="0"/>
    <n v="0"/>
    <n v="5"/>
  </r>
  <r>
    <n v="3419"/>
    <s v="André Lopes"/>
    <x v="0"/>
    <x v="187"/>
    <x v="1"/>
    <x v="0"/>
    <x v="0"/>
    <x v="0"/>
    <x v="0"/>
    <x v="0"/>
    <n v="20"/>
    <n v="3"/>
    <n v="62"/>
  </r>
  <r>
    <n v="3420"/>
    <s v="Beatriz Souza"/>
    <x v="2"/>
    <x v="188"/>
    <x v="0"/>
    <x v="2"/>
    <x v="1"/>
    <x v="1"/>
    <x v="1"/>
    <x v="0"/>
    <n v="20"/>
    <n v="15"/>
    <n v="15"/>
  </r>
  <r>
    <n v="3421"/>
    <s v="Caio Pereira"/>
    <x v="1"/>
    <x v="189"/>
    <x v="1"/>
    <x v="1"/>
    <x v="0"/>
    <x v="1"/>
    <x v="1"/>
    <x v="1"/>
    <n v="0"/>
    <n v="1"/>
    <n v="4"/>
  </r>
  <r>
    <n v="3422"/>
    <s v="Daniela Araújo"/>
    <x v="0"/>
    <x v="190"/>
    <x v="0"/>
    <x v="0"/>
    <x v="2"/>
    <x v="0"/>
    <x v="0"/>
    <x v="0"/>
    <n v="20"/>
    <n v="7"/>
    <n v="58"/>
  </r>
  <r>
    <n v="3423"/>
    <s v="Eduardo Santos"/>
    <x v="2"/>
    <x v="191"/>
    <x v="1"/>
    <x v="2"/>
    <x v="0"/>
    <x v="1"/>
    <x v="1"/>
    <x v="0"/>
    <n v="20"/>
    <n v="10"/>
    <n v="20"/>
  </r>
  <r>
    <n v="3424"/>
    <s v="Fernanda Lima"/>
    <x v="1"/>
    <x v="192"/>
    <x v="0"/>
    <x v="1"/>
    <x v="1"/>
    <x v="1"/>
    <x v="1"/>
    <x v="1"/>
    <n v="0"/>
    <n v="0"/>
    <n v="5"/>
  </r>
  <r>
    <n v="3425"/>
    <s v="Gabriel Teixeira"/>
    <x v="0"/>
    <x v="193"/>
    <x v="1"/>
    <x v="0"/>
    <x v="0"/>
    <x v="0"/>
    <x v="0"/>
    <x v="0"/>
    <n v="20"/>
    <n v="20"/>
    <n v="45"/>
  </r>
  <r>
    <n v="3426"/>
    <s v="Helena Ribeiro"/>
    <x v="2"/>
    <x v="194"/>
    <x v="0"/>
    <x v="2"/>
    <x v="2"/>
    <x v="1"/>
    <x v="1"/>
    <x v="0"/>
    <n v="20"/>
    <n v="15"/>
    <n v="15"/>
  </r>
  <r>
    <n v="3427"/>
    <s v="Igor Mendes"/>
    <x v="1"/>
    <x v="195"/>
    <x v="1"/>
    <x v="1"/>
    <x v="0"/>
    <x v="1"/>
    <x v="1"/>
    <x v="1"/>
    <n v="0"/>
    <n v="1"/>
    <n v="4"/>
  </r>
  <r>
    <n v="3428"/>
    <s v="Joana Silveira"/>
    <x v="0"/>
    <x v="196"/>
    <x v="0"/>
    <x v="0"/>
    <x v="1"/>
    <x v="0"/>
    <x v="0"/>
    <x v="0"/>
    <n v="20"/>
    <n v="3"/>
    <n v="62"/>
  </r>
  <r>
    <n v="3429"/>
    <s v="Lucas Martins"/>
    <x v="2"/>
    <x v="197"/>
    <x v="1"/>
    <x v="2"/>
    <x v="0"/>
    <x v="1"/>
    <x v="1"/>
    <x v="0"/>
    <n v="20"/>
    <n v="10"/>
    <n v="20"/>
  </r>
  <r>
    <n v="3430"/>
    <s v="Marcela Gouveia"/>
    <x v="1"/>
    <x v="198"/>
    <x v="0"/>
    <x v="1"/>
    <x v="2"/>
    <x v="1"/>
    <x v="1"/>
    <x v="1"/>
    <n v="0"/>
    <n v="0"/>
    <n v="5"/>
  </r>
  <r>
    <n v="3431"/>
    <s v="Nicolas Borges"/>
    <x v="0"/>
    <x v="199"/>
    <x v="1"/>
    <x v="0"/>
    <x v="0"/>
    <x v="0"/>
    <x v="0"/>
    <x v="0"/>
    <n v="20"/>
    <n v="15"/>
    <n v="50"/>
  </r>
  <r>
    <n v="3432"/>
    <s v="Olivia Freitas"/>
    <x v="2"/>
    <x v="200"/>
    <x v="0"/>
    <x v="2"/>
    <x v="1"/>
    <x v="1"/>
    <x v="1"/>
    <x v="0"/>
    <n v="20"/>
    <n v="15"/>
    <n v="15"/>
  </r>
  <r>
    <n v="3433"/>
    <s v="Paulo Nogueira"/>
    <x v="1"/>
    <x v="201"/>
    <x v="1"/>
    <x v="1"/>
    <x v="0"/>
    <x v="1"/>
    <x v="1"/>
    <x v="1"/>
    <n v="0"/>
    <n v="1"/>
    <n v="4"/>
  </r>
  <r>
    <n v="3434"/>
    <s v="Raquel Andrade"/>
    <x v="0"/>
    <x v="202"/>
    <x v="0"/>
    <x v="0"/>
    <x v="2"/>
    <x v="0"/>
    <x v="0"/>
    <x v="0"/>
    <n v="20"/>
    <n v="7"/>
    <n v="58"/>
  </r>
  <r>
    <n v="3435"/>
    <s v="Sônia Carvalho"/>
    <x v="2"/>
    <x v="203"/>
    <x v="1"/>
    <x v="2"/>
    <x v="0"/>
    <x v="1"/>
    <x v="1"/>
    <x v="0"/>
    <n v="20"/>
    <n v="10"/>
    <n v="20"/>
  </r>
  <r>
    <n v="3436"/>
    <s v="Tiago Rodrigues"/>
    <x v="1"/>
    <x v="204"/>
    <x v="0"/>
    <x v="1"/>
    <x v="0"/>
    <x v="1"/>
    <x v="1"/>
    <x v="1"/>
    <n v="0"/>
    <n v="0"/>
    <n v="5"/>
  </r>
  <r>
    <n v="3437"/>
    <s v="Ursula Monteiro"/>
    <x v="0"/>
    <x v="205"/>
    <x v="1"/>
    <x v="0"/>
    <x v="2"/>
    <x v="0"/>
    <x v="0"/>
    <x v="0"/>
    <n v="20"/>
    <n v="7"/>
    <n v="58"/>
  </r>
  <r>
    <n v="3438"/>
    <s v="Vanessa Pereira"/>
    <x v="2"/>
    <x v="206"/>
    <x v="0"/>
    <x v="2"/>
    <x v="1"/>
    <x v="1"/>
    <x v="1"/>
    <x v="0"/>
    <n v="20"/>
    <n v="10"/>
    <n v="20"/>
  </r>
  <r>
    <n v="3439"/>
    <s v="Walter Silva"/>
    <x v="1"/>
    <x v="207"/>
    <x v="1"/>
    <x v="1"/>
    <x v="2"/>
    <x v="1"/>
    <x v="1"/>
    <x v="1"/>
    <n v="0"/>
    <n v="1"/>
    <n v="4"/>
  </r>
  <r>
    <n v="3440"/>
    <s v="Xavier Almeida"/>
    <x v="0"/>
    <x v="208"/>
    <x v="0"/>
    <x v="0"/>
    <x v="0"/>
    <x v="0"/>
    <x v="0"/>
    <x v="0"/>
    <n v="20"/>
    <n v="15"/>
    <n v="50"/>
  </r>
  <r>
    <n v="3441"/>
    <s v="Yasmine Correia"/>
    <x v="2"/>
    <x v="209"/>
    <x v="1"/>
    <x v="2"/>
    <x v="0"/>
    <x v="1"/>
    <x v="1"/>
    <x v="0"/>
    <n v="20"/>
    <n v="5"/>
    <n v="25"/>
  </r>
  <r>
    <n v="3442"/>
    <s v="Zacarias Almeida"/>
    <x v="1"/>
    <x v="210"/>
    <x v="0"/>
    <x v="1"/>
    <x v="1"/>
    <x v="1"/>
    <x v="1"/>
    <x v="1"/>
    <n v="0"/>
    <n v="0"/>
    <n v="5"/>
  </r>
  <r>
    <n v="3443"/>
    <s v="Amanda Costa"/>
    <x v="0"/>
    <x v="211"/>
    <x v="1"/>
    <x v="0"/>
    <x v="2"/>
    <x v="0"/>
    <x v="0"/>
    <x v="0"/>
    <n v="20"/>
    <n v="20"/>
    <n v="45"/>
  </r>
  <r>
    <n v="3444"/>
    <s v="Bruno Ferreira"/>
    <x v="2"/>
    <x v="212"/>
    <x v="0"/>
    <x v="2"/>
    <x v="2"/>
    <x v="1"/>
    <x v="1"/>
    <x v="0"/>
    <n v="20"/>
    <n v="12"/>
    <n v="18"/>
  </r>
  <r>
    <n v="3445"/>
    <s v="Carla Dias"/>
    <x v="1"/>
    <x v="213"/>
    <x v="1"/>
    <x v="1"/>
    <x v="0"/>
    <x v="1"/>
    <x v="1"/>
    <x v="1"/>
    <n v="0"/>
    <n v="2"/>
    <n v="3"/>
  </r>
  <r>
    <n v="3446"/>
    <s v="Diogo Martins"/>
    <x v="0"/>
    <x v="214"/>
    <x v="0"/>
    <x v="0"/>
    <x v="1"/>
    <x v="0"/>
    <x v="0"/>
    <x v="0"/>
    <n v="20"/>
    <n v="5"/>
    <n v="60"/>
  </r>
  <r>
    <n v="3447"/>
    <s v="Elisa Campos"/>
    <x v="2"/>
    <x v="215"/>
    <x v="1"/>
    <x v="2"/>
    <x v="0"/>
    <x v="1"/>
    <x v="1"/>
    <x v="0"/>
    <n v="20"/>
    <n v="10"/>
    <n v="20"/>
  </r>
  <r>
    <n v="3448"/>
    <s v="Fabiana Lima"/>
    <x v="1"/>
    <x v="216"/>
    <x v="0"/>
    <x v="1"/>
    <x v="2"/>
    <x v="1"/>
    <x v="1"/>
    <x v="1"/>
    <n v="0"/>
    <n v="0"/>
    <n v="5"/>
  </r>
  <r>
    <n v="3449"/>
    <s v="Gabriel Santos"/>
    <x v="0"/>
    <x v="217"/>
    <x v="1"/>
    <x v="0"/>
    <x v="0"/>
    <x v="0"/>
    <x v="0"/>
    <x v="0"/>
    <n v="20"/>
    <n v="3"/>
    <n v="62"/>
  </r>
  <r>
    <n v="3450"/>
    <s v="Helena Ferreira"/>
    <x v="2"/>
    <x v="218"/>
    <x v="0"/>
    <x v="2"/>
    <x v="1"/>
    <x v="1"/>
    <x v="1"/>
    <x v="0"/>
    <n v="20"/>
    <n v="15"/>
    <n v="15"/>
  </r>
  <r>
    <n v="3451"/>
    <s v="Ígor Nunes"/>
    <x v="1"/>
    <x v="219"/>
    <x v="1"/>
    <x v="1"/>
    <x v="0"/>
    <x v="1"/>
    <x v="1"/>
    <x v="1"/>
    <n v="0"/>
    <n v="1"/>
    <n v="4"/>
  </r>
  <r>
    <n v="3452"/>
    <s v="Joana Silveira"/>
    <x v="0"/>
    <x v="220"/>
    <x v="0"/>
    <x v="0"/>
    <x v="2"/>
    <x v="0"/>
    <x v="0"/>
    <x v="0"/>
    <n v="20"/>
    <n v="7"/>
    <n v="58"/>
  </r>
  <r>
    <n v="3453"/>
    <s v="Kléber Oliveira"/>
    <x v="2"/>
    <x v="221"/>
    <x v="1"/>
    <x v="2"/>
    <x v="0"/>
    <x v="1"/>
    <x v="1"/>
    <x v="0"/>
    <n v="20"/>
    <n v="10"/>
    <n v="20"/>
  </r>
  <r>
    <n v="3454"/>
    <s v="Luciana Morais"/>
    <x v="1"/>
    <x v="222"/>
    <x v="0"/>
    <x v="1"/>
    <x v="1"/>
    <x v="1"/>
    <x v="1"/>
    <x v="1"/>
    <n v="0"/>
    <n v="0"/>
    <n v="5"/>
  </r>
  <r>
    <n v="3455"/>
    <s v="Marcos Vinícius"/>
    <x v="0"/>
    <x v="223"/>
    <x v="1"/>
    <x v="0"/>
    <x v="0"/>
    <x v="0"/>
    <x v="0"/>
    <x v="0"/>
    <n v="20"/>
    <n v="20"/>
    <n v="45"/>
  </r>
  <r>
    <n v="3456"/>
    <s v="Natália Barros"/>
    <x v="2"/>
    <x v="224"/>
    <x v="0"/>
    <x v="2"/>
    <x v="2"/>
    <x v="1"/>
    <x v="1"/>
    <x v="0"/>
    <n v="20"/>
    <n v="15"/>
    <n v="15"/>
  </r>
  <r>
    <n v="3457"/>
    <s v="Oscar Sampaio"/>
    <x v="1"/>
    <x v="225"/>
    <x v="1"/>
    <x v="1"/>
    <x v="0"/>
    <x v="1"/>
    <x v="1"/>
    <x v="1"/>
    <n v="0"/>
    <n v="1"/>
    <n v="4"/>
  </r>
  <r>
    <n v="3458"/>
    <s v="Patrícia Leite"/>
    <x v="0"/>
    <x v="226"/>
    <x v="0"/>
    <x v="0"/>
    <x v="1"/>
    <x v="0"/>
    <x v="0"/>
    <x v="0"/>
    <n v="20"/>
    <n v="3"/>
    <n v="62"/>
  </r>
  <r>
    <n v="3459"/>
    <s v="Quênia Rocha"/>
    <x v="2"/>
    <x v="227"/>
    <x v="1"/>
    <x v="2"/>
    <x v="0"/>
    <x v="1"/>
    <x v="1"/>
    <x v="0"/>
    <n v="20"/>
    <n v="10"/>
    <n v="20"/>
  </r>
  <r>
    <n v="3460"/>
    <s v="Rafael Torres"/>
    <x v="1"/>
    <x v="228"/>
    <x v="0"/>
    <x v="1"/>
    <x v="2"/>
    <x v="1"/>
    <x v="1"/>
    <x v="1"/>
    <n v="0"/>
    <n v="0"/>
    <n v="5"/>
  </r>
  <r>
    <n v="3461"/>
    <s v="Sandra Gouveia"/>
    <x v="0"/>
    <x v="229"/>
    <x v="1"/>
    <x v="0"/>
    <x v="0"/>
    <x v="0"/>
    <x v="0"/>
    <x v="0"/>
    <n v="20"/>
    <n v="15"/>
    <n v="50"/>
  </r>
  <r>
    <n v="3462"/>
    <s v="Tiago Lacerda"/>
    <x v="2"/>
    <x v="230"/>
    <x v="0"/>
    <x v="2"/>
    <x v="1"/>
    <x v="1"/>
    <x v="1"/>
    <x v="0"/>
    <n v="20"/>
    <n v="15"/>
    <n v="15"/>
  </r>
  <r>
    <n v="3463"/>
    <s v="Ursula Fonseca"/>
    <x v="1"/>
    <x v="231"/>
    <x v="1"/>
    <x v="1"/>
    <x v="0"/>
    <x v="1"/>
    <x v="1"/>
    <x v="1"/>
    <n v="0"/>
    <n v="1"/>
    <n v="4"/>
  </r>
  <r>
    <n v="3464"/>
    <s v="Vanessa Andrade"/>
    <x v="0"/>
    <x v="232"/>
    <x v="0"/>
    <x v="0"/>
    <x v="2"/>
    <x v="0"/>
    <x v="0"/>
    <x v="0"/>
    <n v="20"/>
    <n v="7"/>
    <n v="58"/>
  </r>
  <r>
    <n v="3465"/>
    <s v="William Castro"/>
    <x v="2"/>
    <x v="233"/>
    <x v="1"/>
    <x v="2"/>
    <x v="0"/>
    <x v="1"/>
    <x v="1"/>
    <x v="0"/>
    <n v="20"/>
    <n v="10"/>
    <n v="20"/>
  </r>
  <r>
    <n v="3466"/>
    <s v="Xavier Monteiro"/>
    <x v="1"/>
    <x v="234"/>
    <x v="0"/>
    <x v="1"/>
    <x v="1"/>
    <x v="1"/>
    <x v="1"/>
    <x v="1"/>
    <n v="0"/>
    <n v="0"/>
    <n v="5"/>
  </r>
  <r>
    <n v="3467"/>
    <s v="Yasmin Figueira"/>
    <x v="0"/>
    <x v="235"/>
    <x v="1"/>
    <x v="0"/>
    <x v="0"/>
    <x v="0"/>
    <x v="0"/>
    <x v="0"/>
    <n v="20"/>
    <n v="15"/>
    <n v="50"/>
  </r>
  <r>
    <n v="3468"/>
    <s v="Zacarias Mendonça"/>
    <x v="2"/>
    <x v="236"/>
    <x v="0"/>
    <x v="2"/>
    <x v="2"/>
    <x v="1"/>
    <x v="1"/>
    <x v="0"/>
    <n v="20"/>
    <n v="12"/>
    <n v="18"/>
  </r>
  <r>
    <n v="3469"/>
    <s v="Amanda Menezes"/>
    <x v="1"/>
    <x v="237"/>
    <x v="1"/>
    <x v="1"/>
    <x v="0"/>
    <x v="1"/>
    <x v="1"/>
    <x v="1"/>
    <n v="0"/>
    <n v="2"/>
    <n v="3"/>
  </r>
  <r>
    <n v="3470"/>
    <s v="Bruno Santos"/>
    <x v="0"/>
    <x v="238"/>
    <x v="0"/>
    <x v="0"/>
    <x v="1"/>
    <x v="0"/>
    <x v="0"/>
    <x v="0"/>
    <n v="20"/>
    <n v="5"/>
    <n v="60"/>
  </r>
  <r>
    <n v="3471"/>
    <s v="Carla Ferreira"/>
    <x v="2"/>
    <x v="239"/>
    <x v="1"/>
    <x v="2"/>
    <x v="0"/>
    <x v="1"/>
    <x v="1"/>
    <x v="0"/>
    <n v="20"/>
    <n v="10"/>
    <n v="20"/>
  </r>
  <r>
    <n v="3472"/>
    <s v="Diogo Alves"/>
    <x v="1"/>
    <x v="240"/>
    <x v="0"/>
    <x v="1"/>
    <x v="2"/>
    <x v="1"/>
    <x v="1"/>
    <x v="1"/>
    <n v="0"/>
    <n v="0"/>
    <n v="5"/>
  </r>
  <r>
    <n v="3473"/>
    <s v="Elisa Neves"/>
    <x v="0"/>
    <x v="241"/>
    <x v="1"/>
    <x v="0"/>
    <x v="0"/>
    <x v="0"/>
    <x v="0"/>
    <x v="0"/>
    <n v="20"/>
    <n v="3"/>
    <n v="62"/>
  </r>
  <r>
    <n v="3474"/>
    <s v="Fabiano Pires"/>
    <x v="2"/>
    <x v="242"/>
    <x v="0"/>
    <x v="2"/>
    <x v="1"/>
    <x v="1"/>
    <x v="1"/>
    <x v="0"/>
    <n v="20"/>
    <n v="15"/>
    <n v="15"/>
  </r>
  <r>
    <n v="3475"/>
    <s v="Giovana Ribeiro"/>
    <x v="1"/>
    <x v="243"/>
    <x v="1"/>
    <x v="1"/>
    <x v="0"/>
    <x v="1"/>
    <x v="1"/>
    <x v="1"/>
    <n v="0"/>
    <n v="1"/>
    <n v="4"/>
  </r>
  <r>
    <n v="3476"/>
    <s v="Hélio Costa"/>
    <x v="0"/>
    <x v="244"/>
    <x v="0"/>
    <x v="0"/>
    <x v="2"/>
    <x v="0"/>
    <x v="0"/>
    <x v="0"/>
    <n v="20"/>
    <n v="7"/>
    <n v="58"/>
  </r>
  <r>
    <n v="3477"/>
    <s v="Íris Loureiro"/>
    <x v="2"/>
    <x v="245"/>
    <x v="1"/>
    <x v="2"/>
    <x v="0"/>
    <x v="1"/>
    <x v="1"/>
    <x v="0"/>
    <n v="20"/>
    <n v="10"/>
    <n v="20"/>
  </r>
  <r>
    <n v="3478"/>
    <s v="João Pereira"/>
    <x v="1"/>
    <x v="246"/>
    <x v="0"/>
    <x v="1"/>
    <x v="1"/>
    <x v="1"/>
    <x v="1"/>
    <x v="1"/>
    <n v="0"/>
    <n v="0"/>
    <n v="5"/>
  </r>
  <r>
    <n v="3479"/>
    <s v="Klara Silva"/>
    <x v="0"/>
    <x v="247"/>
    <x v="1"/>
    <x v="0"/>
    <x v="0"/>
    <x v="0"/>
    <x v="0"/>
    <x v="0"/>
    <n v="20"/>
    <n v="20"/>
    <n v="45"/>
  </r>
  <r>
    <n v="3480"/>
    <s v="Luciana Barros"/>
    <x v="2"/>
    <x v="248"/>
    <x v="0"/>
    <x v="2"/>
    <x v="2"/>
    <x v="1"/>
    <x v="1"/>
    <x v="0"/>
    <n v="20"/>
    <n v="15"/>
    <n v="15"/>
  </r>
  <r>
    <n v="3481"/>
    <s v="Marcos Gomes"/>
    <x v="1"/>
    <x v="249"/>
    <x v="1"/>
    <x v="1"/>
    <x v="0"/>
    <x v="1"/>
    <x v="1"/>
    <x v="1"/>
    <n v="0"/>
    <n v="1"/>
    <n v="4"/>
  </r>
  <r>
    <n v="3482"/>
    <s v="Natália Soares"/>
    <x v="0"/>
    <x v="250"/>
    <x v="0"/>
    <x v="0"/>
    <x v="1"/>
    <x v="0"/>
    <x v="0"/>
    <x v="0"/>
    <n v="20"/>
    <n v="3"/>
    <n v="62"/>
  </r>
  <r>
    <n v="3483"/>
    <s v="Oscar Machado"/>
    <x v="2"/>
    <x v="251"/>
    <x v="1"/>
    <x v="2"/>
    <x v="0"/>
    <x v="1"/>
    <x v="1"/>
    <x v="0"/>
    <n v="20"/>
    <n v="10"/>
    <n v="20"/>
  </r>
  <r>
    <n v="3484"/>
    <s v="Patrícia Lima"/>
    <x v="1"/>
    <x v="252"/>
    <x v="0"/>
    <x v="1"/>
    <x v="2"/>
    <x v="1"/>
    <x v="1"/>
    <x v="1"/>
    <n v="0"/>
    <n v="0"/>
    <n v="5"/>
  </r>
  <r>
    <n v="3485"/>
    <s v="Quirino Neto"/>
    <x v="0"/>
    <x v="253"/>
    <x v="1"/>
    <x v="0"/>
    <x v="0"/>
    <x v="0"/>
    <x v="0"/>
    <x v="0"/>
    <n v="20"/>
    <n v="15"/>
    <n v="50"/>
  </r>
  <r>
    <n v="3486"/>
    <s v="Rafaela Souza"/>
    <x v="1"/>
    <x v="254"/>
    <x v="0"/>
    <x v="1"/>
    <x v="0"/>
    <x v="1"/>
    <x v="1"/>
    <x v="1"/>
    <n v="0"/>
    <n v="0"/>
    <n v="5"/>
  </r>
  <r>
    <n v="3487"/>
    <s v="Sandro Almeida"/>
    <x v="0"/>
    <x v="255"/>
    <x v="1"/>
    <x v="0"/>
    <x v="2"/>
    <x v="0"/>
    <x v="0"/>
    <x v="0"/>
    <n v="20"/>
    <n v="7"/>
    <n v="58"/>
  </r>
  <r>
    <n v="3488"/>
    <s v="Tânia Ribeiro"/>
    <x v="2"/>
    <x v="256"/>
    <x v="0"/>
    <x v="2"/>
    <x v="1"/>
    <x v="1"/>
    <x v="1"/>
    <x v="0"/>
    <n v="20"/>
    <n v="10"/>
    <n v="20"/>
  </r>
  <r>
    <n v="3489"/>
    <s v="Ugo Dias"/>
    <x v="1"/>
    <x v="257"/>
    <x v="1"/>
    <x v="1"/>
    <x v="2"/>
    <x v="1"/>
    <x v="1"/>
    <x v="1"/>
    <n v="0"/>
    <n v="1"/>
    <n v="4"/>
  </r>
  <r>
    <n v="3490"/>
    <s v="Valéria Lima"/>
    <x v="0"/>
    <x v="258"/>
    <x v="0"/>
    <x v="0"/>
    <x v="0"/>
    <x v="0"/>
    <x v="0"/>
    <x v="0"/>
    <n v="20"/>
    <n v="15"/>
    <n v="50"/>
  </r>
  <r>
    <n v="3491"/>
    <s v="William Fernandes"/>
    <x v="2"/>
    <x v="259"/>
    <x v="1"/>
    <x v="2"/>
    <x v="0"/>
    <x v="1"/>
    <x v="1"/>
    <x v="0"/>
    <n v="20"/>
    <n v="5"/>
    <n v="25"/>
  </r>
  <r>
    <n v="3492"/>
    <s v="Xuxa Mendes"/>
    <x v="1"/>
    <x v="260"/>
    <x v="0"/>
    <x v="1"/>
    <x v="1"/>
    <x v="1"/>
    <x v="1"/>
    <x v="1"/>
    <n v="0"/>
    <n v="0"/>
    <n v="5"/>
  </r>
  <r>
    <n v="3493"/>
    <s v="Ygor Farias"/>
    <x v="0"/>
    <x v="261"/>
    <x v="1"/>
    <x v="0"/>
    <x v="2"/>
    <x v="0"/>
    <x v="0"/>
    <x v="0"/>
    <n v="20"/>
    <n v="20"/>
    <n v="45"/>
  </r>
  <r>
    <n v="3494"/>
    <s v="Zilda Barros"/>
    <x v="2"/>
    <x v="262"/>
    <x v="0"/>
    <x v="2"/>
    <x v="2"/>
    <x v="1"/>
    <x v="1"/>
    <x v="0"/>
    <n v="20"/>
    <n v="12"/>
    <n v="18"/>
  </r>
  <r>
    <n v="3495"/>
    <s v="Amanda Santos"/>
    <x v="1"/>
    <x v="263"/>
    <x v="1"/>
    <x v="1"/>
    <x v="0"/>
    <x v="1"/>
    <x v="1"/>
    <x v="1"/>
    <n v="0"/>
    <n v="2"/>
    <n v="3"/>
  </r>
  <r>
    <n v="3496"/>
    <s v="Bruno Costa"/>
    <x v="0"/>
    <x v="264"/>
    <x v="0"/>
    <x v="0"/>
    <x v="1"/>
    <x v="0"/>
    <x v="0"/>
    <x v="0"/>
    <n v="20"/>
    <n v="5"/>
    <n v="60"/>
  </r>
  <r>
    <n v="3497"/>
    <s v="Carla Rodrigues"/>
    <x v="2"/>
    <x v="265"/>
    <x v="1"/>
    <x v="2"/>
    <x v="0"/>
    <x v="1"/>
    <x v="1"/>
    <x v="0"/>
    <n v="20"/>
    <n v="10"/>
    <n v="20"/>
  </r>
  <r>
    <n v="3498"/>
    <s v="Diogo Pereira"/>
    <x v="1"/>
    <x v="266"/>
    <x v="0"/>
    <x v="1"/>
    <x v="2"/>
    <x v="1"/>
    <x v="1"/>
    <x v="1"/>
    <n v="0"/>
    <n v="0"/>
    <n v="5"/>
  </r>
  <r>
    <n v="3499"/>
    <s v="Elisa Correia"/>
    <x v="0"/>
    <x v="267"/>
    <x v="1"/>
    <x v="0"/>
    <x v="0"/>
    <x v="0"/>
    <x v="0"/>
    <x v="0"/>
    <n v="20"/>
    <n v="3"/>
    <n v="62"/>
  </r>
  <r>
    <n v="3500"/>
    <s v="Fábio Lourenço"/>
    <x v="2"/>
    <x v="268"/>
    <x v="0"/>
    <x v="2"/>
    <x v="1"/>
    <x v="1"/>
    <x v="1"/>
    <x v="0"/>
    <n v="20"/>
    <n v="15"/>
    <n v="15"/>
  </r>
  <r>
    <n v="3501"/>
    <s v="Gabriela Neves"/>
    <x v="1"/>
    <x v="269"/>
    <x v="1"/>
    <x v="1"/>
    <x v="0"/>
    <x v="1"/>
    <x v="1"/>
    <x v="1"/>
    <n v="0"/>
    <n v="1"/>
    <n v="4"/>
  </r>
  <r>
    <n v="3502"/>
    <s v="Henrique Gonçalves"/>
    <x v="0"/>
    <x v="270"/>
    <x v="0"/>
    <x v="0"/>
    <x v="2"/>
    <x v="0"/>
    <x v="0"/>
    <x v="0"/>
    <n v="20"/>
    <n v="7"/>
    <n v="58"/>
  </r>
  <r>
    <n v="3503"/>
    <s v="Íris Santos"/>
    <x v="2"/>
    <x v="271"/>
    <x v="1"/>
    <x v="2"/>
    <x v="0"/>
    <x v="1"/>
    <x v="1"/>
    <x v="0"/>
    <n v="20"/>
    <n v="10"/>
    <n v="20"/>
  </r>
  <r>
    <n v="3504"/>
    <s v="João Marcelo Alves"/>
    <x v="1"/>
    <x v="272"/>
    <x v="0"/>
    <x v="1"/>
    <x v="1"/>
    <x v="1"/>
    <x v="1"/>
    <x v="1"/>
    <n v="0"/>
    <n v="0"/>
    <n v="5"/>
  </r>
  <r>
    <n v="3505"/>
    <s v="Klara Fonseca"/>
    <x v="0"/>
    <x v="273"/>
    <x v="1"/>
    <x v="0"/>
    <x v="0"/>
    <x v="0"/>
    <x v="0"/>
    <x v="0"/>
    <n v="20"/>
    <n v="20"/>
    <n v="45"/>
  </r>
  <r>
    <n v="3506"/>
    <s v="Lucas Mendonça"/>
    <x v="2"/>
    <x v="274"/>
    <x v="0"/>
    <x v="2"/>
    <x v="2"/>
    <x v="1"/>
    <x v="1"/>
    <x v="0"/>
    <n v="20"/>
    <n v="15"/>
    <n v="15"/>
  </r>
  <r>
    <n v="3507"/>
    <s v="Marcela Torres"/>
    <x v="1"/>
    <x v="275"/>
    <x v="1"/>
    <x v="1"/>
    <x v="0"/>
    <x v="1"/>
    <x v="1"/>
    <x v="1"/>
    <n v="0"/>
    <n v="1"/>
    <n v="4"/>
  </r>
  <r>
    <n v="3508"/>
    <s v="Natália Castro"/>
    <x v="0"/>
    <x v="276"/>
    <x v="0"/>
    <x v="0"/>
    <x v="1"/>
    <x v="0"/>
    <x v="0"/>
    <x v="0"/>
    <n v="20"/>
    <n v="3"/>
    <n v="62"/>
  </r>
  <r>
    <n v="3509"/>
    <s v="Oscar Martins"/>
    <x v="2"/>
    <x v="277"/>
    <x v="1"/>
    <x v="2"/>
    <x v="0"/>
    <x v="1"/>
    <x v="1"/>
    <x v="0"/>
    <n v="20"/>
    <n v="10"/>
    <n v="20"/>
  </r>
  <r>
    <n v="3510"/>
    <s v="Patrícia Oliveira"/>
    <x v="1"/>
    <x v="278"/>
    <x v="0"/>
    <x v="1"/>
    <x v="2"/>
    <x v="1"/>
    <x v="1"/>
    <x v="1"/>
    <n v="0"/>
    <n v="0"/>
    <n v="5"/>
  </r>
  <r>
    <n v="3511"/>
    <s v="Quentin Nogueira"/>
    <x v="0"/>
    <x v="279"/>
    <x v="1"/>
    <x v="0"/>
    <x v="0"/>
    <x v="0"/>
    <x v="0"/>
    <x v="0"/>
    <n v="20"/>
    <n v="15"/>
    <n v="50"/>
  </r>
  <r>
    <n v="3512"/>
    <s v="Raquel Silva"/>
    <x v="2"/>
    <x v="280"/>
    <x v="0"/>
    <x v="2"/>
    <x v="1"/>
    <x v="1"/>
    <x v="1"/>
    <x v="0"/>
    <n v="20"/>
    <n v="15"/>
    <n v="15"/>
  </r>
  <r>
    <n v="3513"/>
    <s v="Sandro Gomes"/>
    <x v="1"/>
    <x v="281"/>
    <x v="1"/>
    <x v="1"/>
    <x v="0"/>
    <x v="1"/>
    <x v="1"/>
    <x v="1"/>
    <n v="0"/>
    <n v="1"/>
    <n v="4"/>
  </r>
  <r>
    <n v="3514"/>
    <s v="Tânia Machado"/>
    <x v="0"/>
    <x v="282"/>
    <x v="0"/>
    <x v="0"/>
    <x v="2"/>
    <x v="0"/>
    <x v="0"/>
    <x v="0"/>
    <n v="20"/>
    <n v="7"/>
    <n v="58"/>
  </r>
  <r>
    <n v="3515"/>
    <s v="Ursula Silva"/>
    <x v="2"/>
    <x v="283"/>
    <x v="1"/>
    <x v="2"/>
    <x v="0"/>
    <x v="1"/>
    <x v="1"/>
    <x v="0"/>
    <n v="20"/>
    <n v="10"/>
    <n v="20"/>
  </r>
  <r>
    <n v="3516"/>
    <s v="Vanessa Moraes"/>
    <x v="1"/>
    <x v="284"/>
    <x v="0"/>
    <x v="1"/>
    <x v="1"/>
    <x v="1"/>
    <x v="1"/>
    <x v="1"/>
    <n v="0"/>
    <n v="0"/>
    <n v="5"/>
  </r>
  <r>
    <n v="3517"/>
    <s v="William Carvalho"/>
    <x v="0"/>
    <x v="285"/>
    <x v="1"/>
    <x v="0"/>
    <x v="0"/>
    <x v="0"/>
    <x v="0"/>
    <x v="0"/>
    <n v="20"/>
    <n v="20"/>
    <n v="45"/>
  </r>
  <r>
    <n v="3518"/>
    <s v="Xavier Reis"/>
    <x v="2"/>
    <x v="286"/>
    <x v="0"/>
    <x v="2"/>
    <x v="2"/>
    <x v="1"/>
    <x v="1"/>
    <x v="0"/>
    <n v="20"/>
    <n v="12"/>
    <n v="18"/>
  </r>
  <r>
    <n v="3519"/>
    <s v="Yasmin Rocha"/>
    <x v="1"/>
    <x v="287"/>
    <x v="1"/>
    <x v="1"/>
    <x v="0"/>
    <x v="1"/>
    <x v="1"/>
    <x v="1"/>
    <n v="0"/>
    <n v="2"/>
    <n v="3"/>
  </r>
  <r>
    <n v="3520"/>
    <s v="Zacarias Duarte"/>
    <x v="0"/>
    <x v="288"/>
    <x v="0"/>
    <x v="0"/>
    <x v="1"/>
    <x v="0"/>
    <x v="0"/>
    <x v="0"/>
    <n v="20"/>
    <n v="5"/>
    <n v="60"/>
  </r>
  <r>
    <n v="3521"/>
    <s v="Amanda Freitas"/>
    <x v="2"/>
    <x v="289"/>
    <x v="1"/>
    <x v="2"/>
    <x v="0"/>
    <x v="1"/>
    <x v="1"/>
    <x v="0"/>
    <n v="20"/>
    <n v="10"/>
    <n v="20"/>
  </r>
  <r>
    <n v="3522"/>
    <s v="Bruno Almeida"/>
    <x v="1"/>
    <x v="290"/>
    <x v="0"/>
    <x v="1"/>
    <x v="2"/>
    <x v="1"/>
    <x v="1"/>
    <x v="1"/>
    <n v="0"/>
    <n v="0"/>
    <n v="5"/>
  </r>
  <r>
    <n v="3523"/>
    <s v="Carla Siqueira"/>
    <x v="0"/>
    <x v="291"/>
    <x v="1"/>
    <x v="0"/>
    <x v="0"/>
    <x v="0"/>
    <x v="0"/>
    <x v="0"/>
    <n v="20"/>
    <n v="3"/>
    <n v="62"/>
  </r>
  <r>
    <n v="3524"/>
    <s v="Diogo Ramos"/>
    <x v="2"/>
    <x v="292"/>
    <x v="0"/>
    <x v="2"/>
    <x v="1"/>
    <x v="1"/>
    <x v="1"/>
    <x v="0"/>
    <n v="20"/>
    <n v="15"/>
    <n v="15"/>
  </r>
  <r>
    <n v="3525"/>
    <s v="Elisa Magalhães"/>
    <x v="1"/>
    <x v="293"/>
    <x v="1"/>
    <x v="1"/>
    <x v="0"/>
    <x v="1"/>
    <x v="1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717119-ECAB-481B-BCDB-14BEB2724E9C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2">
  <location ref="D45:F58" firstHeaderRow="0" firstDataRow="1" firstDataCol="1"/>
  <pivotFields count="14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 sumSubtotal="1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sum"/>
      </items>
    </pivotField>
    <pivotField showAll="0"/>
    <pivotField numFmtId="44" showAll="0"/>
    <pivotField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dataField="1" numFmtId="44" showAll="0"/>
    <pivotField dataField="1" numFmtId="44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Value" fld="12" baseField="13" baseItem="1" numFmtId="44"/>
    <dataField name="Sum of Coupon Value" fld="11" baseField="13" baseItem="1" numFmtId="4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48964-C652-4ED5-886B-9B11FA01DF8F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35:E39" firstHeaderRow="1" firstDataRow="1" firstDataCol="1" rowPageCount="1" colPageCount="1"/>
  <pivotFields count="14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dataField="1" numFmtId="44" showAll="0"/>
    <pivotField numFmtId="44" showAll="0"/>
    <pivotField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D660AD-404D-400C-8E68-4BB8565CC047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27:E31" firstHeaderRow="1" firstDataRow="1" firstDataCol="1" rowPageCount="1" colPageCount="1"/>
  <pivotFields count="14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numFmtId="44" showAll="0"/>
    <pivotField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04B71B-D917-47BD-81C9-5D67CB4D2450}" name="Tabela dinâmica1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20">
  <location ref="D19:E22" firstHeaderRow="1" firstDataRow="1" firstDataCol="1" rowPageCount="1" colPageCount="1"/>
  <pivotFields count="14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numFmtId="44" showAll="0"/>
    <pivotField numFmtId="44" showAll="0"/>
    <pivotField dataField="1"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6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dateBetween" evalOrder="-1" id="162" name="Start Date">
      <autoFilter ref="A1">
        <filterColumn colId="0">
          <customFilters and="1">
            <customFilter operator="greaterThanOrEqual" val="45627"/>
            <customFilter operator="lessThanOrEqual" val="4565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C6F6A1-7EA3-4358-A5AF-F476325F33BC}" name="Tabela dinâ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85:F89" firstHeaderRow="1" firstDataRow="1" firstDataCol="1" rowPageCount="1" colPageCount="1"/>
  <pivotFields count="14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dataField="1" numFmtId="44" showAll="0"/>
    <pivotField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Coupon Value" fld="11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08C5B620-2EBD-4F63-AB01-6155387343A4}" sourceName="Subscription Type">
  <pivotTables>
    <pivotTable tabId="3" name="Tabela dinâmica1"/>
    <pivotTable tabId="3" name="Tabela dinâmica2"/>
    <pivotTable tabId="3" name="Tabela dinâmica3"/>
    <pivotTable tabId="3" name="Tabela dinâmica8"/>
  </pivotTables>
  <data>
    <tabular pivotCacheId="1319865432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91A9E1C6-102F-41DC-A402-94FF90DAF4D8}" cache="SegmentaçãodeDados_Subscription_Type" caption="Subscription Type" style="SlicerStyleLight1 2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579A5B17-CF17-4D73-8D42-C2A07D868C3B}" cache="SegmentaçãodeDados_Subscription_Type" caption="Subscription Type" style="SlicerStyleLight1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4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W28" sqref="W28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BO158"/>
  <sheetViews>
    <sheetView showGridLines="0" tabSelected="1" zoomScale="55" zoomScaleNormal="55" workbookViewId="0">
      <selection activeCell="C7" sqref="C7"/>
    </sheetView>
  </sheetViews>
  <sheetFormatPr defaultRowHeight="15" x14ac:dyDescent="0.25"/>
  <cols>
    <col min="1" max="1" width="54.85546875" style="15" customWidth="1"/>
    <col min="2" max="2" width="3.5703125" customWidth="1"/>
    <col min="12" max="12" width="6.5703125" customWidth="1"/>
  </cols>
  <sheetData>
    <row r="1" spans="1:67" ht="11.25" customHeight="1" x14ac:dyDescent="0.25"/>
    <row r="2" spans="1:67" ht="39" hidden="1" customHeight="1" x14ac:dyDescent="0.25"/>
    <row r="3" spans="1:67" hidden="1" x14ac:dyDescent="0.25"/>
    <row r="4" spans="1:67" hidden="1" x14ac:dyDescent="0.25"/>
    <row r="5" spans="1:67" s="17" customFormat="1" ht="132" customHeight="1" thickBot="1" x14ac:dyDescent="0.6">
      <c r="A5" s="18"/>
      <c r="C5" s="22" t="s">
        <v>318</v>
      </c>
      <c r="AO5" s="21" t="s">
        <v>334</v>
      </c>
    </row>
    <row r="6" spans="1:67" ht="33" customHeight="1" thickTop="1" x14ac:dyDescent="0.25">
      <c r="B6" s="16"/>
      <c r="C6" s="23" t="s">
        <v>337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</row>
    <row r="7" spans="1:67" x14ac:dyDescent="0.25"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</row>
    <row r="8" spans="1:67" x14ac:dyDescent="0.25"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</row>
    <row r="9" spans="1:67" x14ac:dyDescent="0.25"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</row>
    <row r="10" spans="1:67" x14ac:dyDescent="0.25"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</row>
    <row r="11" spans="1:67" x14ac:dyDescent="0.25"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</row>
    <row r="12" spans="1:67" x14ac:dyDescent="0.25"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</row>
    <row r="13" spans="1:67" x14ac:dyDescent="0.25"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</row>
    <row r="14" spans="1:67" x14ac:dyDescent="0.25"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</row>
    <row r="15" spans="1:67" x14ac:dyDescent="0.25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</row>
    <row r="16" spans="1:67" x14ac:dyDescent="0.25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</row>
    <row r="17" spans="2:67" x14ac:dyDescent="0.25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</row>
    <row r="18" spans="2:67" x14ac:dyDescent="0.25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</row>
    <row r="19" spans="2:67" x14ac:dyDescent="0.25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</row>
    <row r="20" spans="2:67" x14ac:dyDescent="0.25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</row>
    <row r="21" spans="2:67" x14ac:dyDescent="0.25"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</row>
    <row r="22" spans="2:67" x14ac:dyDescent="0.25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</row>
    <row r="23" spans="2:67" x14ac:dyDescent="0.25"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</row>
    <row r="24" spans="2:67" x14ac:dyDescent="0.25"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</row>
    <row r="25" spans="2:67" x14ac:dyDescent="0.25"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</row>
    <row r="26" spans="2:67" x14ac:dyDescent="0.25"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</row>
    <row r="27" spans="2:67" x14ac:dyDescent="0.25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</row>
    <row r="28" spans="2:67" x14ac:dyDescent="0.25"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</row>
    <row r="29" spans="2:67" x14ac:dyDescent="0.25"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</row>
    <row r="30" spans="2:67" x14ac:dyDescent="0.25"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</row>
    <row r="31" spans="2:67" x14ac:dyDescent="0.25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</row>
    <row r="32" spans="2:67" x14ac:dyDescent="0.25"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</row>
    <row r="33" spans="2:67" x14ac:dyDescent="0.25"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</row>
    <row r="34" spans="2:67" x14ac:dyDescent="0.25"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</row>
    <row r="35" spans="2:67" x14ac:dyDescent="0.25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</row>
    <row r="36" spans="2:67" x14ac:dyDescent="0.25"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</row>
    <row r="37" spans="2:67" x14ac:dyDescent="0.25"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</row>
    <row r="38" spans="2:67" x14ac:dyDescent="0.25"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</row>
    <row r="39" spans="2:67" x14ac:dyDescent="0.25"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</row>
    <row r="40" spans="2:67" x14ac:dyDescent="0.25"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</row>
    <row r="41" spans="2:67" x14ac:dyDescent="0.25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</row>
    <row r="42" spans="2:67" x14ac:dyDescent="0.25"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</row>
    <row r="43" spans="2:67" x14ac:dyDescent="0.25"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</row>
    <row r="44" spans="2:67" x14ac:dyDescent="0.25"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</row>
    <row r="45" spans="2:67" x14ac:dyDescent="0.25"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</row>
    <row r="46" spans="2:67" x14ac:dyDescent="0.25"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</row>
    <row r="47" spans="2:67" x14ac:dyDescent="0.25"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</row>
    <row r="48" spans="2:67" x14ac:dyDescent="0.25"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</row>
    <row r="49" spans="2:67" x14ac:dyDescent="0.25"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</row>
    <row r="50" spans="2:67" x14ac:dyDescent="0.25"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</row>
    <row r="51" spans="2:67" x14ac:dyDescent="0.25"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</row>
    <row r="52" spans="2:67" x14ac:dyDescent="0.25"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</row>
    <row r="53" spans="2:67" x14ac:dyDescent="0.25"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</row>
    <row r="54" spans="2:67" x14ac:dyDescent="0.25"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</row>
    <row r="55" spans="2:67" x14ac:dyDescent="0.25"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</row>
    <row r="56" spans="2:67" x14ac:dyDescent="0.25"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</row>
    <row r="57" spans="2:67" x14ac:dyDescent="0.25"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</row>
    <row r="58" spans="2:67" x14ac:dyDescent="0.25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</row>
    <row r="59" spans="2:67" x14ac:dyDescent="0.25"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</row>
    <row r="60" spans="2:67" x14ac:dyDescent="0.25"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</row>
    <row r="61" spans="2:67" x14ac:dyDescent="0.25"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</row>
    <row r="62" spans="2:67" x14ac:dyDescent="0.25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</row>
    <row r="63" spans="2:67" x14ac:dyDescent="0.25"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</row>
    <row r="64" spans="2:67" x14ac:dyDescent="0.25"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</row>
    <row r="65" spans="2:67" x14ac:dyDescent="0.25"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</row>
    <row r="66" spans="2:67" x14ac:dyDescent="0.25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</row>
    <row r="67" spans="2:67" x14ac:dyDescent="0.25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</row>
    <row r="68" spans="2:67" x14ac:dyDescent="0.25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</row>
    <row r="69" spans="2:67" x14ac:dyDescent="0.25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</row>
    <row r="70" spans="2:67" x14ac:dyDescent="0.25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</row>
    <row r="71" spans="2:67" x14ac:dyDescent="0.25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</row>
    <row r="72" spans="2:67" x14ac:dyDescent="0.25"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</row>
    <row r="73" spans="2:67" x14ac:dyDescent="0.25"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</row>
    <row r="74" spans="2:67" x14ac:dyDescent="0.25"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</row>
    <row r="75" spans="2:67" x14ac:dyDescent="0.25"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</row>
    <row r="76" spans="2:67" x14ac:dyDescent="0.25"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</row>
    <row r="77" spans="2:67" x14ac:dyDescent="0.25"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</row>
    <row r="78" spans="2:67" x14ac:dyDescent="0.25"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</row>
    <row r="79" spans="2:67" x14ac:dyDescent="0.25"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</row>
    <row r="80" spans="2:67" x14ac:dyDescent="0.25"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</row>
    <row r="81" spans="2:67" x14ac:dyDescent="0.25"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</row>
    <row r="82" spans="2:67" x14ac:dyDescent="0.25"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</row>
    <row r="83" spans="2:67" x14ac:dyDescent="0.25"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</row>
    <row r="84" spans="2:67" x14ac:dyDescent="0.25"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</row>
    <row r="85" spans="2:67" x14ac:dyDescent="0.25"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</row>
    <row r="86" spans="2:67" x14ac:dyDescent="0.25"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</row>
    <row r="87" spans="2:67" x14ac:dyDescent="0.25"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</row>
    <row r="88" spans="2:67" x14ac:dyDescent="0.25"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</row>
    <row r="89" spans="2:67" x14ac:dyDescent="0.25"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</row>
    <row r="90" spans="2:67" x14ac:dyDescent="0.25"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</row>
    <row r="91" spans="2:67" x14ac:dyDescent="0.25"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</row>
    <row r="92" spans="2:67" x14ac:dyDescent="0.25"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</row>
    <row r="93" spans="2:67" x14ac:dyDescent="0.25"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</row>
    <row r="94" spans="2:67" x14ac:dyDescent="0.25"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</row>
    <row r="95" spans="2:67" x14ac:dyDescent="0.25"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</row>
    <row r="96" spans="2:67" x14ac:dyDescent="0.25"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</row>
    <row r="97" spans="2:67" x14ac:dyDescent="0.25"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</row>
    <row r="98" spans="2:67" x14ac:dyDescent="0.25"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</row>
    <row r="99" spans="2:67" x14ac:dyDescent="0.25"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</row>
    <row r="100" spans="2:67" x14ac:dyDescent="0.25"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</row>
    <row r="101" spans="2:67" x14ac:dyDescent="0.25"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</row>
    <row r="102" spans="2:67" x14ac:dyDescent="0.25"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</row>
    <row r="103" spans="2:67" x14ac:dyDescent="0.25"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</row>
    <row r="104" spans="2:67" x14ac:dyDescent="0.25"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</row>
    <row r="105" spans="2:67" x14ac:dyDescent="0.25"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</row>
    <row r="106" spans="2:67" x14ac:dyDescent="0.25"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</row>
    <row r="107" spans="2:67" x14ac:dyDescent="0.25"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</row>
    <row r="108" spans="2:67" x14ac:dyDescent="0.25"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</row>
    <row r="109" spans="2:67" x14ac:dyDescent="0.25"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</row>
    <row r="110" spans="2:67" x14ac:dyDescent="0.25"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</row>
    <row r="111" spans="2:67" x14ac:dyDescent="0.25"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</row>
    <row r="112" spans="2:67" x14ac:dyDescent="0.25"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</row>
    <row r="113" spans="2:67" x14ac:dyDescent="0.25"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</row>
    <row r="114" spans="2:67" x14ac:dyDescent="0.25"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</row>
    <row r="115" spans="2:67" x14ac:dyDescent="0.25"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</row>
    <row r="116" spans="2:67" x14ac:dyDescent="0.25"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</row>
    <row r="117" spans="2:67" x14ac:dyDescent="0.25"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</row>
    <row r="118" spans="2:67" x14ac:dyDescent="0.25"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</row>
    <row r="119" spans="2:67" x14ac:dyDescent="0.25"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</row>
    <row r="120" spans="2:67" x14ac:dyDescent="0.25"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</row>
    <row r="121" spans="2:67" x14ac:dyDescent="0.25"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</row>
    <row r="122" spans="2:67" x14ac:dyDescent="0.25"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</row>
    <row r="123" spans="2:67" x14ac:dyDescent="0.25"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</row>
    <row r="124" spans="2:67" x14ac:dyDescent="0.25"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</row>
    <row r="125" spans="2:67" x14ac:dyDescent="0.25"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</row>
    <row r="126" spans="2:67" x14ac:dyDescent="0.25"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</row>
    <row r="127" spans="2:67" x14ac:dyDescent="0.25"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</row>
    <row r="128" spans="2:67" x14ac:dyDescent="0.25"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</row>
    <row r="129" spans="2:67" x14ac:dyDescent="0.25"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</row>
    <row r="130" spans="2:67" x14ac:dyDescent="0.25"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</row>
    <row r="131" spans="2:67" x14ac:dyDescent="0.25"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</row>
    <row r="132" spans="2:67" x14ac:dyDescent="0.25"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</row>
    <row r="133" spans="2:67" x14ac:dyDescent="0.25"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</row>
    <row r="134" spans="2:67" x14ac:dyDescent="0.25"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</row>
    <row r="135" spans="2:67" x14ac:dyDescent="0.25"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</row>
    <row r="136" spans="2:67" x14ac:dyDescent="0.25"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</row>
    <row r="137" spans="2:67" x14ac:dyDescent="0.25"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</row>
    <row r="138" spans="2:67" x14ac:dyDescent="0.25"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</row>
    <row r="139" spans="2:67" x14ac:dyDescent="0.25"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</row>
    <row r="140" spans="2:67" x14ac:dyDescent="0.25"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</row>
    <row r="141" spans="2:67" x14ac:dyDescent="0.25"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</row>
    <row r="142" spans="2:67" x14ac:dyDescent="0.25"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</row>
    <row r="143" spans="2:67" x14ac:dyDescent="0.25"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</row>
    <row r="144" spans="2:67" x14ac:dyDescent="0.25"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</row>
    <row r="145" spans="2:67" x14ac:dyDescent="0.25"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</row>
    <row r="146" spans="2:67" x14ac:dyDescent="0.25"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</row>
    <row r="147" spans="2:67" x14ac:dyDescent="0.25"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</row>
    <row r="148" spans="2:67" x14ac:dyDescent="0.25"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</row>
    <row r="149" spans="2:67" x14ac:dyDescent="0.25"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</row>
    <row r="150" spans="2:67" x14ac:dyDescent="0.25"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</row>
    <row r="151" spans="2:67" x14ac:dyDescent="0.25"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</row>
    <row r="152" spans="2:67" x14ac:dyDescent="0.25"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</row>
    <row r="153" spans="2:67" x14ac:dyDescent="0.25"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</row>
    <row r="154" spans="2:67" x14ac:dyDescent="0.25"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</row>
    <row r="155" spans="2:67" x14ac:dyDescent="0.25"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</row>
    <row r="156" spans="2:67" x14ac:dyDescent="0.25"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</row>
    <row r="157" spans="2:67" x14ac:dyDescent="0.25"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</row>
    <row r="158" spans="2:67" x14ac:dyDescent="0.25"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I1" sqref="I1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D7:G89"/>
  <sheetViews>
    <sheetView showGridLines="0" topLeftCell="A46" zoomScale="70" zoomScaleNormal="70" workbookViewId="0">
      <selection activeCell="D77" sqref="D77"/>
    </sheetView>
  </sheetViews>
  <sheetFormatPr defaultRowHeight="15" x14ac:dyDescent="0.25"/>
  <cols>
    <col min="3" max="3" width="18.42578125" bestFit="1" customWidth="1"/>
    <col min="4" max="5" width="24" bestFit="1" customWidth="1"/>
    <col min="6" max="6" width="28.7109375" bestFit="1" customWidth="1"/>
    <col min="7" max="7" width="15" bestFit="1" customWidth="1"/>
    <col min="8" max="16" width="14.85546875" bestFit="1" customWidth="1"/>
    <col min="17" max="26" width="14.42578125" bestFit="1" customWidth="1"/>
    <col min="27" max="27" width="14.85546875" bestFit="1" customWidth="1"/>
    <col min="28" max="28" width="14.42578125" bestFit="1" customWidth="1"/>
    <col min="29" max="37" width="14.85546875" bestFit="1" customWidth="1"/>
    <col min="38" max="39" width="14.42578125" bestFit="1" customWidth="1"/>
    <col min="40" max="47" width="14.85546875" bestFit="1" customWidth="1"/>
    <col min="48" max="57" width="14.42578125" bestFit="1" customWidth="1"/>
    <col min="58" max="58" width="14.85546875" bestFit="1" customWidth="1"/>
    <col min="59" max="59" width="14.42578125" bestFit="1" customWidth="1"/>
    <col min="60" max="68" width="14.85546875" bestFit="1" customWidth="1"/>
    <col min="69" max="69" width="14.42578125" bestFit="1" customWidth="1"/>
    <col min="70" max="77" width="14.85546875" bestFit="1" customWidth="1"/>
    <col min="78" max="87" width="14.42578125" bestFit="1" customWidth="1"/>
    <col min="88" max="88" width="14.85546875" bestFit="1" customWidth="1"/>
    <col min="89" max="89" width="14.42578125" bestFit="1" customWidth="1"/>
    <col min="90" max="98" width="14.85546875" bestFit="1" customWidth="1"/>
    <col min="99" max="100" width="14.42578125" bestFit="1" customWidth="1"/>
    <col min="101" max="108" width="14.85546875" bestFit="1" customWidth="1"/>
    <col min="109" max="118" width="14.42578125" bestFit="1" customWidth="1"/>
    <col min="119" max="119" width="14.85546875" bestFit="1" customWidth="1"/>
    <col min="120" max="120" width="14.42578125" bestFit="1" customWidth="1"/>
    <col min="121" max="129" width="14.85546875" bestFit="1" customWidth="1"/>
    <col min="130" max="130" width="14.42578125" bestFit="1" customWidth="1"/>
    <col min="131" max="138" width="14.85546875" bestFit="1" customWidth="1"/>
    <col min="139" max="148" width="14.42578125" bestFit="1" customWidth="1"/>
    <col min="149" max="149" width="14.85546875" bestFit="1" customWidth="1"/>
    <col min="150" max="150" width="14.42578125" bestFit="1" customWidth="1"/>
    <col min="151" max="159" width="14.85546875" bestFit="1" customWidth="1"/>
    <col min="160" max="161" width="14.42578125" bestFit="1" customWidth="1"/>
    <col min="162" max="169" width="14.85546875" bestFit="1" customWidth="1"/>
    <col min="170" max="170" width="14.42578125" bestFit="1" customWidth="1"/>
    <col min="171" max="171" width="14" bestFit="1" customWidth="1"/>
    <col min="172" max="179" width="14.42578125" bestFit="1" customWidth="1"/>
    <col min="180" max="180" width="14.85546875" bestFit="1" customWidth="1"/>
    <col min="181" max="181" width="14.42578125" bestFit="1" customWidth="1"/>
    <col min="182" max="190" width="14.85546875" bestFit="1" customWidth="1"/>
    <col min="191" max="192" width="14.42578125" bestFit="1" customWidth="1"/>
    <col min="193" max="200" width="14.85546875" bestFit="1" customWidth="1"/>
    <col min="201" max="210" width="14.42578125" bestFit="1" customWidth="1"/>
    <col min="211" max="211" width="14.85546875" bestFit="1" customWidth="1"/>
    <col min="212" max="212" width="14.42578125" bestFit="1" customWidth="1"/>
    <col min="213" max="221" width="14.85546875" bestFit="1" customWidth="1"/>
    <col min="222" max="232" width="14.42578125" bestFit="1" customWidth="1"/>
    <col min="233" max="233" width="14" bestFit="1" customWidth="1"/>
    <col min="234" max="234" width="14.42578125" bestFit="1" customWidth="1"/>
    <col min="235" max="236" width="14" bestFit="1" customWidth="1"/>
    <col min="237" max="238" width="14.42578125" bestFit="1" customWidth="1"/>
    <col min="239" max="239" width="14" bestFit="1" customWidth="1"/>
    <col min="240" max="241" width="14.42578125" bestFit="1" customWidth="1"/>
    <col min="242" max="242" width="14" bestFit="1" customWidth="1"/>
    <col min="243" max="252" width="14.42578125" bestFit="1" customWidth="1"/>
    <col min="253" max="254" width="14" bestFit="1" customWidth="1"/>
    <col min="255" max="256" width="14.42578125" bestFit="1" customWidth="1"/>
    <col min="257" max="257" width="14" bestFit="1" customWidth="1"/>
    <col min="258" max="258" width="14.42578125" bestFit="1" customWidth="1"/>
    <col min="259" max="259" width="14" bestFit="1" customWidth="1"/>
    <col min="260" max="261" width="14.42578125" bestFit="1" customWidth="1"/>
    <col min="262" max="262" width="13.5703125" bestFit="1" customWidth="1"/>
    <col min="263" max="264" width="14.42578125" bestFit="1" customWidth="1"/>
    <col min="265" max="265" width="13.5703125" bestFit="1" customWidth="1"/>
    <col min="266" max="266" width="14.42578125" bestFit="1" customWidth="1"/>
    <col min="267" max="267" width="14" bestFit="1" customWidth="1"/>
    <col min="268" max="268" width="13.5703125" bestFit="1" customWidth="1"/>
    <col min="269" max="270" width="14.42578125" bestFit="1" customWidth="1"/>
    <col min="271" max="271" width="13.5703125" bestFit="1" customWidth="1"/>
    <col min="272" max="272" width="14.42578125" bestFit="1" customWidth="1"/>
    <col min="273" max="274" width="14" bestFit="1" customWidth="1"/>
    <col min="275" max="276" width="14.42578125" bestFit="1" customWidth="1"/>
    <col min="277" max="277" width="14" bestFit="1" customWidth="1"/>
    <col min="278" max="278" width="14.42578125" bestFit="1" customWidth="1"/>
    <col min="279" max="280" width="14" bestFit="1" customWidth="1"/>
    <col min="281" max="282" width="14.42578125" bestFit="1" customWidth="1"/>
    <col min="283" max="283" width="14" bestFit="1" customWidth="1"/>
    <col min="284" max="291" width="14.42578125" bestFit="1" customWidth="1"/>
    <col min="292" max="292" width="14" bestFit="1" customWidth="1"/>
    <col min="293" max="294" width="14.42578125" bestFit="1" customWidth="1"/>
    <col min="295" max="295" width="14" bestFit="1" customWidth="1"/>
    <col min="296" max="296" width="14.42578125" bestFit="1" customWidth="1"/>
    <col min="297" max="298" width="14" bestFit="1" customWidth="1"/>
    <col min="299" max="299" width="18.28515625" bestFit="1" customWidth="1"/>
  </cols>
  <sheetData>
    <row r="7" spans="4:4" x14ac:dyDescent="0.25">
      <c r="D7" t="s">
        <v>316</v>
      </c>
    </row>
    <row r="8" spans="4:4" x14ac:dyDescent="0.25">
      <c r="D8" t="s">
        <v>317</v>
      </c>
    </row>
    <row r="17" spans="4:6" x14ac:dyDescent="0.25">
      <c r="D17" s="12" t="s">
        <v>16</v>
      </c>
      <c r="E17" t="s">
        <v>20</v>
      </c>
    </row>
    <row r="19" spans="4:6" x14ac:dyDescent="0.25">
      <c r="D19" s="12" t="s">
        <v>313</v>
      </c>
      <c r="E19" t="s">
        <v>315</v>
      </c>
    </row>
    <row r="20" spans="4:6" x14ac:dyDescent="0.25">
      <c r="D20" s="13" t="s">
        <v>23</v>
      </c>
      <c r="E20" s="14">
        <v>2824</v>
      </c>
    </row>
    <row r="21" spans="4:6" x14ac:dyDescent="0.25">
      <c r="D21" s="13" t="s">
        <v>19</v>
      </c>
      <c r="E21" s="14">
        <v>747</v>
      </c>
    </row>
    <row r="22" spans="4:6" x14ac:dyDescent="0.25">
      <c r="D22" s="13" t="s">
        <v>314</v>
      </c>
      <c r="E22" s="14">
        <v>3571</v>
      </c>
    </row>
    <row r="25" spans="4:6" x14ac:dyDescent="0.25">
      <c r="D25" s="12" t="s">
        <v>16</v>
      </c>
      <c r="E25" t="s">
        <v>20</v>
      </c>
    </row>
    <row r="27" spans="4:6" x14ac:dyDescent="0.25">
      <c r="D27" s="12" t="s">
        <v>313</v>
      </c>
      <c r="E27" t="s">
        <v>319</v>
      </c>
    </row>
    <row r="28" spans="4:6" x14ac:dyDescent="0.25">
      <c r="D28" s="13" t="s">
        <v>22</v>
      </c>
      <c r="E28">
        <v>0</v>
      </c>
    </row>
    <row r="29" spans="4:6" x14ac:dyDescent="0.25">
      <c r="D29" s="13" t="s">
        <v>26</v>
      </c>
      <c r="E29">
        <v>0</v>
      </c>
    </row>
    <row r="30" spans="4:6" x14ac:dyDescent="0.25">
      <c r="D30" s="13" t="s">
        <v>18</v>
      </c>
      <c r="E30">
        <v>1350</v>
      </c>
    </row>
    <row r="31" spans="4:6" x14ac:dyDescent="0.25">
      <c r="D31" s="13" t="s">
        <v>314</v>
      </c>
      <c r="E31">
        <v>1350</v>
      </c>
      <c r="F31" s="19">
        <f>GETPIVOTDATA("EA Play Season Pass
Price",$D$27)</f>
        <v>1350</v>
      </c>
    </row>
    <row r="33" spans="4:7" x14ac:dyDescent="0.25">
      <c r="D33" s="12" t="s">
        <v>16</v>
      </c>
      <c r="E33" t="s">
        <v>20</v>
      </c>
    </row>
    <row r="35" spans="4:7" x14ac:dyDescent="0.25">
      <c r="D35" s="12" t="s">
        <v>313</v>
      </c>
      <c r="E35" t="s">
        <v>320</v>
      </c>
    </row>
    <row r="36" spans="4:7" x14ac:dyDescent="0.25">
      <c r="D36" s="13" t="s">
        <v>22</v>
      </c>
      <c r="E36" s="14">
        <v>0</v>
      </c>
    </row>
    <row r="37" spans="4:7" x14ac:dyDescent="0.25">
      <c r="D37" s="13" t="s">
        <v>26</v>
      </c>
      <c r="E37" s="14">
        <v>900</v>
      </c>
    </row>
    <row r="38" spans="4:7" x14ac:dyDescent="0.25">
      <c r="D38" s="13" t="s">
        <v>18</v>
      </c>
      <c r="E38" s="14">
        <v>900</v>
      </c>
    </row>
    <row r="39" spans="4:7" x14ac:dyDescent="0.25">
      <c r="D39" s="13" t="s">
        <v>314</v>
      </c>
      <c r="E39" s="14">
        <v>1800</v>
      </c>
      <c r="F39" s="20"/>
      <c r="G39" s="19">
        <f>GETPIVOTDATA("Minecraft Season Pass Price",$D$35)</f>
        <v>1800</v>
      </c>
    </row>
    <row r="45" spans="4:7" x14ac:dyDescent="0.25">
      <c r="D45" s="12" t="s">
        <v>313</v>
      </c>
      <c r="E45" t="s">
        <v>335</v>
      </c>
      <c r="F45" t="s">
        <v>336</v>
      </c>
    </row>
    <row r="46" spans="4:7" x14ac:dyDescent="0.25">
      <c r="D46" s="13" t="s">
        <v>321</v>
      </c>
      <c r="E46" s="14">
        <v>65</v>
      </c>
      <c r="F46" s="14">
        <v>5</v>
      </c>
    </row>
    <row r="47" spans="4:7" x14ac:dyDescent="0.25">
      <c r="D47" s="13" t="s">
        <v>322</v>
      </c>
      <c r="E47" s="14">
        <v>82</v>
      </c>
      <c r="F47" s="14">
        <v>13</v>
      </c>
    </row>
    <row r="48" spans="4:7" x14ac:dyDescent="0.25">
      <c r="D48" s="13" t="s">
        <v>323</v>
      </c>
      <c r="E48" s="14">
        <v>801</v>
      </c>
      <c r="F48" s="14">
        <v>204</v>
      </c>
    </row>
    <row r="49" spans="4:6" x14ac:dyDescent="0.25">
      <c r="D49" s="13" t="s">
        <v>324</v>
      </c>
      <c r="E49" s="14">
        <v>782</v>
      </c>
      <c r="F49" s="14">
        <v>218</v>
      </c>
    </row>
    <row r="50" spans="4:6" x14ac:dyDescent="0.25">
      <c r="D50" s="13" t="s">
        <v>325</v>
      </c>
      <c r="E50" s="14">
        <v>777</v>
      </c>
      <c r="F50" s="14">
        <v>228</v>
      </c>
    </row>
    <row r="51" spans="4:6" x14ac:dyDescent="0.25">
      <c r="D51" s="13" t="s">
        <v>326</v>
      </c>
      <c r="E51" s="14">
        <v>770</v>
      </c>
      <c r="F51" s="14">
        <v>230</v>
      </c>
    </row>
    <row r="52" spans="4:6" x14ac:dyDescent="0.25">
      <c r="D52" s="13" t="s">
        <v>327</v>
      </c>
      <c r="E52" s="14">
        <v>784</v>
      </c>
      <c r="F52" s="14">
        <v>221</v>
      </c>
    </row>
    <row r="53" spans="4:6" x14ac:dyDescent="0.25">
      <c r="D53" s="13" t="s">
        <v>328</v>
      </c>
      <c r="E53" s="14">
        <v>787</v>
      </c>
      <c r="F53" s="14">
        <v>218</v>
      </c>
    </row>
    <row r="54" spans="4:6" x14ac:dyDescent="0.25">
      <c r="D54" s="13" t="s">
        <v>329</v>
      </c>
      <c r="E54" s="14">
        <v>780</v>
      </c>
      <c r="F54" s="14">
        <v>220</v>
      </c>
    </row>
    <row r="55" spans="4:6" x14ac:dyDescent="0.25">
      <c r="D55" s="13" t="s">
        <v>330</v>
      </c>
      <c r="E55" s="14">
        <v>832</v>
      </c>
      <c r="F55" s="14">
        <v>233</v>
      </c>
    </row>
    <row r="56" spans="4:6" x14ac:dyDescent="0.25">
      <c r="D56" s="13" t="s">
        <v>331</v>
      </c>
      <c r="E56" s="14">
        <v>784</v>
      </c>
      <c r="F56" s="14">
        <v>216</v>
      </c>
    </row>
    <row r="57" spans="4:6" x14ac:dyDescent="0.25">
      <c r="D57" s="13" t="s">
        <v>332</v>
      </c>
      <c r="E57" s="14">
        <v>389</v>
      </c>
      <c r="F57" s="14">
        <v>116</v>
      </c>
    </row>
    <row r="58" spans="4:6" x14ac:dyDescent="0.25">
      <c r="D58" s="13" t="s">
        <v>314</v>
      </c>
      <c r="E58" s="14">
        <v>7633</v>
      </c>
      <c r="F58" s="14">
        <v>2122</v>
      </c>
    </row>
    <row r="83" spans="5:7" x14ac:dyDescent="0.25">
      <c r="E83" s="12" t="s">
        <v>16</v>
      </c>
      <c r="F83" t="s">
        <v>20</v>
      </c>
    </row>
    <row r="85" spans="5:7" x14ac:dyDescent="0.25">
      <c r="E85" s="12" t="s">
        <v>313</v>
      </c>
      <c r="F85" t="s">
        <v>333</v>
      </c>
    </row>
    <row r="86" spans="5:7" x14ac:dyDescent="0.25">
      <c r="E86" s="13" t="s">
        <v>22</v>
      </c>
      <c r="F86" s="14">
        <v>53</v>
      </c>
    </row>
    <row r="87" spans="5:7" x14ac:dyDescent="0.25">
      <c r="E87" s="13" t="s">
        <v>26</v>
      </c>
      <c r="F87" s="14">
        <v>392</v>
      </c>
    </row>
    <row r="88" spans="5:7" x14ac:dyDescent="0.25">
      <c r="E88" s="13" t="s">
        <v>18</v>
      </c>
      <c r="F88" s="14">
        <v>504</v>
      </c>
    </row>
    <row r="89" spans="5:7" x14ac:dyDescent="0.25">
      <c r="E89" s="13" t="s">
        <v>314</v>
      </c>
      <c r="F89" s="14">
        <v>949</v>
      </c>
      <c r="G89" s="19">
        <f>GETPIVOTDATA("Coupon Value",$E$85)</f>
        <v>949</v>
      </c>
    </row>
  </sheetData>
  <pageMargins left="0.511811024" right="0.511811024" top="0.78740157499999996" bottom="0.78740157499999996" header="0.31496062000000002" footer="0.31496062000000002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D̳ashboard</vt:lpstr>
      <vt:lpstr>B̳ases</vt:lpstr>
      <vt:lpstr>C̳álculos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Elizeu Lucio</cp:lastModifiedBy>
  <dcterms:created xsi:type="dcterms:W3CDTF">2024-12-19T13:13:10Z</dcterms:created>
  <dcterms:modified xsi:type="dcterms:W3CDTF">2026-01-13T03:52:21Z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